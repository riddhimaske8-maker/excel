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  <sheet state="visible" name="Q9" sheetId="9" r:id="rId12"/>
    <sheet state="visible" name="Q10" sheetId="10" r:id="rId13"/>
  </sheets>
  <definedNames/>
  <calcPr/>
  <extLst>
    <ext uri="GoogleSheetsCustomDataVersion2">
      <go:sheetsCustomData xmlns:go="http://customooxmlschemas.google.com/" r:id="rId14" roundtripDataChecksum="A5UJkavfBAR1a50cfQTcrY20vUho0MApFbZNVbidxaw="/>
    </ext>
  </extLst>
</workbook>
</file>

<file path=xl/sharedStrings.xml><?xml version="1.0" encoding="utf-8"?>
<sst xmlns="http://schemas.openxmlformats.org/spreadsheetml/2006/main" count="615" uniqueCount="150">
  <si>
    <t>Q-1. count the two digit no.s from the given data</t>
  </si>
  <si>
    <t>Ans:</t>
  </si>
  <si>
    <t>Q-2. Count the no. of text strings who's length is 2</t>
  </si>
  <si>
    <t>AA</t>
  </si>
  <si>
    <t>A</t>
  </si>
  <si>
    <t>DD</t>
  </si>
  <si>
    <t>DSA</t>
  </si>
  <si>
    <t>BB</t>
  </si>
  <si>
    <t>GEL</t>
  </si>
  <si>
    <t>CC</t>
  </si>
  <si>
    <t>DDD</t>
  </si>
  <si>
    <t>DAS</t>
  </si>
  <si>
    <t>PEL</t>
  </si>
  <si>
    <t>EEE</t>
  </si>
  <si>
    <t>E</t>
  </si>
  <si>
    <t>EEEE</t>
  </si>
  <si>
    <t>SA</t>
  </si>
  <si>
    <t>APG</t>
  </si>
  <si>
    <t>KK</t>
  </si>
  <si>
    <t>TT</t>
  </si>
  <si>
    <t>PP</t>
  </si>
  <si>
    <t>AAAA</t>
  </si>
  <si>
    <t>DASD</t>
  </si>
  <si>
    <t>EE</t>
  </si>
  <si>
    <t>KA</t>
  </si>
  <si>
    <t>POP</t>
  </si>
  <si>
    <t>DS</t>
  </si>
  <si>
    <t>SS</t>
  </si>
  <si>
    <t>BOB</t>
  </si>
  <si>
    <t>WEW</t>
  </si>
  <si>
    <t>MU</t>
  </si>
  <si>
    <t>DU</t>
  </si>
  <si>
    <t>Q-3. Overview of when to use SUMIF and COUNTIF functions in Excel.</t>
  </si>
  <si>
    <t>Q-3(A). Find the no. of spaces from the above text string?</t>
  </si>
  <si>
    <t>Find the no. of spaces from the above text string?</t>
  </si>
  <si>
    <t>Q-3(B). Find the length of above text string without space?</t>
  </si>
  <si>
    <t>Q-4(A). Count the no. of Items as per the month according to the given validation in C3</t>
  </si>
  <si>
    <t>Items</t>
  </si>
  <si>
    <t>Date</t>
  </si>
  <si>
    <t>Month</t>
  </si>
  <si>
    <t>Item</t>
  </si>
  <si>
    <t>Formula</t>
  </si>
  <si>
    <t>D</t>
  </si>
  <si>
    <t>b</t>
  </si>
  <si>
    <t>c</t>
  </si>
  <si>
    <t xml:space="preserve">Q-4(B).Count the no of item which is equal to "A"  for the year 2011 </t>
  </si>
  <si>
    <t>d</t>
  </si>
  <si>
    <t>Year</t>
  </si>
  <si>
    <t>e</t>
  </si>
  <si>
    <t>f</t>
  </si>
  <si>
    <t>g</t>
  </si>
  <si>
    <t>h</t>
  </si>
  <si>
    <t>Q-5. Using text function change the format of dates according to the row no 4</t>
  </si>
  <si>
    <t>Q-6. Find the following according to the above fields?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</si>
  <si>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</si>
  <si>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</si>
  <si>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</si>
  <si>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</si>
  <si>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</si>
  <si>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</si>
  <si>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</si>
  <si>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</si>
  <si>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</si>
  <si>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</si>
  <si>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</si>
  <si>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</si>
  <si>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</si>
  <si>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</si>
  <si>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</si>
  <si>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</si>
  <si>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Q-7. Count the no. of times name appearing in a Cell</t>
  </si>
  <si>
    <t>Sr No.</t>
  </si>
  <si>
    <t>Text String</t>
  </si>
  <si>
    <t>rohit,,,sunny,sunita,rohit,,,////(((alka,rohit</t>
  </si>
  <si>
    <t>Deepak!!!pankaj@@@@pankaj@@@@rohit</t>
  </si>
  <si>
    <t>ajay,ajay,anil,ajay,ajay&amp;&amp;&amp;pankaj</t>
  </si>
  <si>
    <t>Name</t>
  </si>
  <si>
    <t>Output</t>
  </si>
  <si>
    <t>rohit</t>
  </si>
  <si>
    <t>pankaj</t>
  </si>
  <si>
    <t>ajay</t>
  </si>
  <si>
    <t>Q-8. Display the full name in the output box with the correct prefix (Mr./Mrs. based on gender), followed by the First_Name, a space, and then the Last_Name.</t>
  </si>
  <si>
    <t>Sr. No</t>
  </si>
  <si>
    <t>Gender</t>
  </si>
  <si>
    <t>Mr./Mrs. First Name_Last Name</t>
  </si>
  <si>
    <t>gupta,bharti</t>
  </si>
  <si>
    <t>F</t>
  </si>
  <si>
    <t>negi,chandan</t>
  </si>
  <si>
    <t>M</t>
  </si>
  <si>
    <t>malhotra,neha</t>
  </si>
  <si>
    <t>kaur,daljeet</t>
  </si>
  <si>
    <t>shukla,virit</t>
  </si>
  <si>
    <t>agarwal,priyank</t>
  </si>
  <si>
    <t>Q-9. Find out the cheque no. from the data</t>
  </si>
  <si>
    <t>Description</t>
  </si>
  <si>
    <t>Cheque No.</t>
  </si>
  <si>
    <t>sardeep.checkno.12345</t>
  </si>
  <si>
    <t>rahuldated12/05/2015checkno.123456</t>
  </si>
  <si>
    <t>tilakraj.checkno.000789</t>
  </si>
  <si>
    <t>Rohit.Gupta.Checkno.123456</t>
  </si>
  <si>
    <t>Q-10. Below is Student Data in that do calculation then assign Grade and Pass/Fail status as per below given conditions.</t>
  </si>
  <si>
    <t>Calculate total marks, Percentage, Grade as per the slab and the student is pass or fail</t>
  </si>
  <si>
    <t>Slab</t>
  </si>
  <si>
    <t>Efficiency</t>
  </si>
  <si>
    <t>Rating</t>
  </si>
  <si>
    <t>&gt;33%</t>
  </si>
  <si>
    <t>C</t>
  </si>
  <si>
    <t>Pass if Marks is greater than Equal to 33%</t>
  </si>
  <si>
    <t>&gt;33.01% and &lt;=45%</t>
  </si>
  <si>
    <t>B+</t>
  </si>
  <si>
    <t>Fail if Marks is less than 33%</t>
  </si>
  <si>
    <t>&gt;=45.01% and &lt;=60%</t>
  </si>
  <si>
    <t>B</t>
  </si>
  <si>
    <t>&gt;=60.01% and &lt;=80%</t>
  </si>
  <si>
    <t>&gt;=80.01%</t>
  </si>
  <si>
    <t>A+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</si>
  <si>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</si>
  <si>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</si>
  <si>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</si>
  <si>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</si>
  <si>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</si>
  <si>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</si>
  <si>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</si>
  <si>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</si>
  <si>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</si>
  <si>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</si>
  <si>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</si>
  <si>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Vikas Sharma</t>
  </si>
  <si>
    <t>Sachin</t>
  </si>
  <si>
    <t>Rohit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</si>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</sst>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\-mm\-yy"/>
    <numFmt numFmtId="165" formatCode="[$-F800]dddd\,\ mmmm\ dd\,\ yyyy"/>
    <numFmt numFmtId="166" formatCode="m/d"/>
    <numFmt numFmtId="167" formatCode="[$-409]mmmm\-yy"/>
    <numFmt numFmtId="168" formatCode="[$-409]d\-mmm"/>
    <numFmt numFmtId="169" formatCode="[$-409]d\-mmm\-yy"/>
    <numFmt numFmtId="170" formatCode="[$-409]dddd\,\ mmmm\ dd\,\ yyyy"/>
    <numFmt numFmtId="171" formatCode="[$-409]m/d/yy\ h:mm\ AM/PM"/>
  </numFmts>
  <fonts count="18">
    <font>
      <sz val="11.0"/>
      <color theme="1"/>
      <name val="Calibri"/>
      <scheme val="minor"/>
    </font>
    <font>
      <b/>
      <u/>
      <sz val="14.0"/>
      <color rgb="FF0000FF"/>
      <name val="Calibri"/>
    </font>
    <font>
      <b/>
      <sz val="14.0"/>
      <color theme="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4.0"/>
      <color rgb="FFFFFFFF"/>
      <name val="Calibri"/>
    </font>
    <font>
      <color theme="1"/>
      <name val="Calibri"/>
      <scheme val="minor"/>
    </font>
    <font>
      <b/>
      <sz val="12.0"/>
      <color theme="0"/>
      <name val="Calibri"/>
    </font>
    <font/>
    <font>
      <sz val="10.0"/>
      <color rgb="FF0000FF"/>
      <name val="Arial"/>
    </font>
    <font>
      <b/>
      <sz val="16.0"/>
      <color theme="0"/>
      <name val="Calibri"/>
    </font>
    <font>
      <sz val="13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F2DBDB"/>
        <bgColor rgb="FFF2DBDB"/>
      </patternFill>
    </fill>
  </fills>
  <borders count="9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ck">
        <color theme="1"/>
      </bottom>
    </border>
    <border>
      <left/>
      <right style="thick">
        <color theme="1"/>
      </right>
      <top style="medium">
        <color rgb="FF000000"/>
      </top>
      <bottom style="thick">
        <color theme="1"/>
      </bottom>
    </border>
    <border>
      <left style="medium">
        <color rgb="FF000000"/>
      </left>
      <right/>
      <top style="thick">
        <color theme="1"/>
      </top>
      <bottom/>
    </border>
    <border>
      <left/>
      <right/>
      <top style="thick">
        <color theme="1"/>
      </top>
      <bottom/>
    </border>
    <border>
      <left/>
      <right/>
      <top style="thick">
        <color theme="1"/>
      </top>
      <bottom style="thick">
        <color theme="1"/>
      </bottom>
    </border>
    <border>
      <left/>
      <right style="thick">
        <color theme="1"/>
      </right>
      <top/>
      <bottom/>
    </border>
    <border>
      <top style="thick">
        <color theme="1"/>
      </top>
    </border>
    <border>
      <top style="thick">
        <color theme="1"/>
      </top>
      <bottom style="thick">
        <color theme="1"/>
      </bottom>
    </border>
    <border>
      <left style="medium">
        <color rgb="FF000000"/>
      </left>
      <top style="thick">
        <color theme="1"/>
      </top>
    </border>
    <border>
      <left style="thick">
        <color theme="1"/>
      </left>
    </border>
    <border>
      <left style="medium">
        <color rgb="FF000000"/>
      </left>
    </border>
    <border>
      <right style="thick">
        <color theme="1"/>
      </right>
    </border>
    <border>
      <bottom style="thick">
        <color theme="1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ck">
        <color theme="1"/>
      </top>
      <bottom style="thick">
        <color theme="1"/>
      </bottom>
    </border>
    <border>
      <left/>
      <right/>
      <top/>
      <bottom style="thick">
        <color theme="1"/>
      </bottom>
    </border>
    <border>
      <left/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right/>
      <top style="medium">
        <color rgb="FF000000"/>
      </top>
      <bottom style="thick">
        <color theme="1"/>
      </bottom>
    </border>
    <border>
      <top style="thick">
        <color theme="1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thick">
        <color theme="1"/>
      </right>
      <top style="medium">
        <color rgb="FF000000"/>
      </top>
      <bottom/>
    </border>
    <border>
      <left/>
      <right style="thick">
        <color theme="1"/>
      </right>
      <top style="thick">
        <color theme="1"/>
      </top>
      <bottom/>
    </border>
    <border>
      <left/>
      <right/>
      <top/>
      <bottom/>
    </border>
    <border>
      <left style="thick">
        <color theme="1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595959"/>
      </left>
      <right style="thick">
        <color theme="1"/>
      </right>
      <top style="thick">
        <color theme="1"/>
      </top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</border>
    <border>
      <left style="thick">
        <color theme="1"/>
      </left>
      <top style="thick">
        <color theme="1"/>
      </top>
      <bottom style="thick">
        <color theme="1"/>
      </bottom>
    </border>
    <border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595959"/>
      </left>
      <right style="thick">
        <color theme="1"/>
      </right>
      <bottom style="thick">
        <color theme="1"/>
      </bottom>
    </border>
    <border>
      <left style="thick">
        <color theme="1"/>
      </left>
      <right/>
      <top style="thick">
        <color theme="1"/>
      </top>
      <bottom style="thick">
        <color theme="1"/>
      </bottom>
    </border>
    <border>
      <right style="medium">
        <color rgb="FF595959"/>
      </right>
      <top style="thick">
        <color theme="1"/>
      </top>
      <bottom style="thick">
        <color theme="1"/>
      </bottom>
    </border>
    <border>
      <bottom style="thick">
        <color theme="0"/>
      </bottom>
    </border>
    <border>
      <left style="medium">
        <color rgb="FF595959"/>
      </left>
      <right/>
      <top style="medium">
        <color rgb="FF595959"/>
      </top>
      <bottom style="thick">
        <color theme="0"/>
      </bottom>
    </border>
    <border>
      <left/>
      <right/>
      <top style="medium">
        <color rgb="FF595959"/>
      </top>
      <bottom style="thick">
        <color theme="0"/>
      </bottom>
    </border>
    <border>
      <left/>
      <right style="thick">
        <color theme="0"/>
      </right>
      <top style="medium">
        <color rgb="FF595959"/>
      </top>
      <bottom/>
    </border>
    <border>
      <top style="thick">
        <color theme="0"/>
      </top>
      <bottom style="thick">
        <color theme="1"/>
      </bottom>
    </border>
    <border>
      <left style="medium">
        <color rgb="FF595959"/>
      </left>
      <right/>
      <top style="thick">
        <color theme="1"/>
      </top>
      <bottom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595959"/>
      </left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 style="thick">
        <color theme="1"/>
      </right>
      <top/>
      <bottom style="thin">
        <color rgb="FF000000"/>
      </bottom>
    </border>
    <border>
      <left style="medium">
        <color rgb="FF595959"/>
      </left>
      <top style="thin">
        <color rgb="FF000000"/>
      </top>
      <bottom style="thin">
        <color rgb="FF000000"/>
      </bottom>
    </border>
    <border>
      <left style="medium">
        <color rgb="FF595959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medium">
        <color rgb="FF595959"/>
      </left>
      <top style="thin">
        <color rgb="FF000000"/>
      </top>
    </border>
    <border>
      <left style="medium">
        <color rgb="FF595959"/>
      </left>
      <right/>
      <top style="thick">
        <color theme="1"/>
      </top>
      <bottom style="thick">
        <color theme="1"/>
      </bottom>
    </border>
    <border>
      <left style="thick">
        <color theme="1"/>
      </left>
      <right/>
      <top/>
      <bottom/>
    </border>
    <border>
      <left style="medium">
        <color rgb="FF000000"/>
      </left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bottom style="thin">
        <color rgb="FF000000"/>
      </bottom>
    </border>
    <border>
      <left style="thick">
        <color theme="1"/>
      </left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theme="1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thick">
        <color theme="1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ck">
        <color theme="1"/>
      </right>
      <top style="thin">
        <color rgb="FF000000"/>
      </top>
      <bottom style="thick">
        <color theme="1"/>
      </bottom>
    </border>
    <border>
      <left style="medium">
        <color rgb="FF595959"/>
      </left>
      <top style="thick">
        <color theme="1"/>
      </top>
      <bottom style="thick">
        <color theme="1"/>
      </bottom>
    </border>
    <border>
      <left style="thick">
        <color theme="1"/>
      </left>
      <right style="thin">
        <color rgb="FF000000"/>
      </right>
      <top/>
      <bottom/>
    </border>
    <border>
      <left style="thin">
        <color rgb="FF000000"/>
      </left>
      <top style="thick">
        <color theme="1"/>
      </top>
      <bottom style="thick">
        <color theme="1"/>
      </bottom>
    </border>
    <border>
      <left style="thin">
        <color rgb="FF000000"/>
      </left>
      <right style="thick">
        <color theme="1"/>
      </right>
      <top style="thick">
        <color theme="1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theme="1"/>
      </bottom>
    </border>
    <border>
      <left style="thick">
        <color theme="1"/>
      </left>
      <bottom style="thick">
        <color theme="1"/>
      </bottom>
    </border>
    <border>
      <right style="thick">
        <color theme="1"/>
      </right>
      <bottom style="thick">
        <color theme="1"/>
      </bottom>
    </border>
    <border>
      <left/>
      <right style="thick">
        <color theme="1"/>
      </right>
      <top style="thick">
        <color theme="1"/>
      </top>
    </border>
    <border>
      <right/>
      <top style="thick">
        <color theme="1"/>
      </top>
      <bottom style="thick">
        <color theme="1"/>
      </bottom>
    </border>
    <border>
      <left/>
      <right style="thick">
        <color theme="1"/>
      </right>
    </border>
    <border>
      <left style="thick">
        <color theme="1"/>
      </left>
      <top style="thick">
        <color theme="1"/>
      </top>
    </border>
    <border>
      <right style="thick">
        <color theme="1"/>
      </right>
      <top style="thick">
        <color theme="1"/>
      </top>
    </border>
    <border>
      <left/>
      <right style="thick">
        <color theme="1"/>
      </right>
      <bottom style="thick">
        <color theme="1"/>
      </bottom>
    </border>
    <border>
      <left/>
      <top style="thick">
        <color theme="1"/>
      </top>
      <bottom/>
    </border>
    <border>
      <top style="thick">
        <color theme="1"/>
      </top>
      <bottom/>
    </border>
    <border>
      <right style="thick">
        <color theme="1"/>
      </right>
      <top style="thick">
        <color theme="1"/>
      </top>
      <bottom/>
    </border>
    <border>
      <left style="thick">
        <color theme="1"/>
      </left>
      <top/>
      <bottom/>
    </border>
    <border>
      <top/>
      <bottom/>
    </border>
    <border>
      <right/>
      <top/>
      <bottom/>
    </border>
    <border>
      <right/>
      <top style="thick">
        <color theme="1"/>
      </top>
      <bottom/>
    </border>
    <border>
      <left style="thin">
        <color rgb="FF000000"/>
      </left>
      <right/>
      <top style="thick">
        <color theme="1"/>
      </top>
      <bottom/>
    </border>
    <border>
      <left style="thick">
        <color theme="1"/>
      </left>
      <top style="thick">
        <color theme="1"/>
      </top>
      <bottom/>
    </border>
    <border>
      <left style="thick">
        <color theme="1"/>
      </left>
      <right style="thick">
        <color theme="1"/>
      </right>
      <top/>
      <bottom/>
    </border>
    <border>
      <left style="thick">
        <color theme="1"/>
      </left>
      <top style="thick">
        <color theme="1"/>
      </top>
      <bottom style="thin">
        <color rgb="FF000000"/>
      </bottom>
    </border>
    <border>
      <top style="thick">
        <color theme="1"/>
      </top>
      <bottom style="thin">
        <color rgb="FF000000"/>
      </bottom>
    </border>
    <border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/>
      <top style="thick">
        <color theme="1"/>
      </top>
      <bottom/>
    </border>
    <border>
      <left style="thick">
        <color theme="1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theme="1"/>
      </right>
      <top style="thin">
        <color rgb="FF000000"/>
      </top>
      <bottom style="thin">
        <color rgb="FF000000"/>
      </bottom>
    </border>
    <border>
      <left style="thick">
        <color theme="1"/>
      </left>
      <right/>
      <top/>
      <bottom style="thick">
        <color theme="1"/>
      </bottom>
    </border>
    <border>
      <left style="thick">
        <color theme="1"/>
      </left>
      <top style="thin">
        <color rgb="FF000000"/>
      </top>
      <bottom style="thick">
        <color theme="1"/>
      </bottom>
    </border>
    <border>
      <top style="thin">
        <color rgb="FF000000"/>
      </top>
      <bottom style="thick">
        <color theme="1"/>
      </bottom>
    </border>
    <border>
      <right style="thick">
        <color theme="1"/>
      </right>
      <top style="thin">
        <color rgb="FF000000"/>
      </top>
      <bottom style="thick">
        <color theme="1"/>
      </bottom>
    </border>
    <border>
      <left style="thick">
        <color theme="1"/>
      </left>
      <right style="thick">
        <color theme="1"/>
      </right>
      <top style="thick">
        <color theme="1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ck">
        <color theme="1"/>
      </left>
      <right style="thick">
        <color theme="1"/>
      </right>
      <top style="thin">
        <color rgb="FF000000"/>
      </top>
      <bottom style="thick">
        <color theme="1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0" fillId="0" fontId="3" numFmtId="0" xfId="0" applyFont="1"/>
    <xf borderId="5" fillId="3" fontId="4" numFmtId="0" xfId="0" applyBorder="1" applyFill="1" applyFont="1"/>
    <xf borderId="6" fillId="3" fontId="4" numFmtId="0" xfId="0" applyBorder="1" applyFont="1"/>
    <xf borderId="7" fillId="3" fontId="4" numFmtId="0" xfId="0" applyBorder="1" applyFont="1"/>
    <xf borderId="8" fillId="3" fontId="4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9" fillId="0" fontId="6" numFmtId="0" xfId="0" applyAlignment="1" applyBorder="1" applyFont="1">
      <alignment horizontal="center"/>
    </xf>
    <xf borderId="12" fillId="0" fontId="5" numFmtId="0" xfId="0" applyBorder="1" applyFont="1"/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" fillId="2" fontId="2" numFmtId="0" xfId="0" applyBorder="1" applyFont="1"/>
    <xf borderId="16" fillId="2" fontId="2" numFmtId="0" xfId="0" applyBorder="1" applyFont="1"/>
    <xf borderId="17" fillId="3" fontId="4" numFmtId="0" xfId="0" applyBorder="1" applyFont="1"/>
    <xf borderId="18" fillId="3" fontId="4" numFmtId="0" xfId="0" applyBorder="1" applyFont="1"/>
    <xf borderId="19" fillId="3" fontId="4" numFmtId="0" xfId="0" applyBorder="1" applyFont="1"/>
    <xf borderId="12" fillId="0" fontId="5" numFmtId="0" xfId="0" applyAlignment="1" applyBorder="1" applyFont="1">
      <alignment readingOrder="0"/>
    </xf>
    <xf borderId="20" fillId="2" fontId="2" numFmtId="0" xfId="0" applyBorder="1" applyFont="1"/>
    <xf borderId="15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21" fillId="0" fontId="5" numFmtId="0" xfId="0" applyAlignment="1" applyBorder="1" applyFont="1">
      <alignment horizontal="left"/>
    </xf>
    <xf borderId="10" fillId="0" fontId="5" numFmtId="0" xfId="0" applyAlignment="1" applyBorder="1" applyFont="1">
      <alignment horizontal="left"/>
    </xf>
    <xf borderId="22" fillId="2" fontId="7" numFmtId="0" xfId="0" applyAlignment="1" applyBorder="1" applyFont="1">
      <alignment readingOrder="0"/>
    </xf>
    <xf borderId="2" fillId="2" fontId="7" numFmtId="0" xfId="0" applyAlignment="1" applyBorder="1" applyFont="1">
      <alignment readingOrder="0"/>
    </xf>
    <xf borderId="6" fillId="2" fontId="2" numFmtId="0" xfId="0" applyBorder="1" applyFont="1"/>
    <xf borderId="23" fillId="2" fontId="2" numFmtId="0" xfId="0" applyBorder="1" applyFont="1"/>
    <xf borderId="0" fillId="0" fontId="8" numFmtId="0" xfId="0" applyAlignment="1" applyFont="1">
      <alignment readingOrder="0"/>
    </xf>
    <xf borderId="24" fillId="3" fontId="4" numFmtId="0" xfId="0" applyBorder="1" applyFont="1"/>
    <xf borderId="9" fillId="0" fontId="5" numFmtId="0" xfId="0" applyAlignment="1" applyBorder="1" applyFont="1">
      <alignment horizontal="left"/>
    </xf>
    <xf borderId="5" fillId="2" fontId="2" numFmtId="0" xfId="0" applyBorder="1" applyFont="1"/>
    <xf borderId="25" fillId="2" fontId="2" numFmtId="0" xfId="0" applyBorder="1" applyFont="1"/>
    <xf borderId="24" fillId="2" fontId="2" numFmtId="0" xfId="0" applyBorder="1" applyFont="1"/>
    <xf borderId="22" fillId="2" fontId="2" numFmtId="0" xfId="0" applyBorder="1" applyFont="1"/>
    <xf borderId="18" fillId="2" fontId="2" numFmtId="0" xfId="0" applyBorder="1" applyFont="1"/>
    <xf borderId="0" fillId="0" fontId="8" numFmtId="0" xfId="0" applyFont="1"/>
    <xf borderId="26" fillId="0" fontId="5" numFmtId="0" xfId="0" applyBorder="1" applyFont="1"/>
    <xf borderId="27" fillId="2" fontId="9" numFmtId="0" xfId="0" applyAlignment="1" applyBorder="1" applyFont="1">
      <alignment horizontal="center"/>
    </xf>
    <xf borderId="28" fillId="3" fontId="4" numFmtId="0" xfId="0" applyAlignment="1" applyBorder="1" applyFont="1">
      <alignment horizontal="center" vertical="center"/>
    </xf>
    <xf borderId="29" fillId="3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/>
    </xf>
    <xf borderId="30" fillId="3" fontId="4" numFmtId="0" xfId="0" applyAlignment="1" applyBorder="1" applyFont="1">
      <alignment horizontal="center"/>
    </xf>
    <xf borderId="10" fillId="0" fontId="10" numFmtId="0" xfId="0" applyBorder="1" applyFont="1"/>
    <xf borderId="31" fillId="0" fontId="10" numFmtId="0" xfId="0" applyBorder="1" applyFont="1"/>
    <xf borderId="27" fillId="0" fontId="6" numFmtId="0" xfId="0" applyAlignment="1" applyBorder="1" applyFont="1">
      <alignment horizontal="center"/>
    </xf>
    <xf borderId="27" fillId="0" fontId="6" numFmtId="14" xfId="0" applyAlignment="1" applyBorder="1" applyFont="1" applyNumberFormat="1">
      <alignment horizontal="center"/>
    </xf>
    <xf borderId="32" fillId="0" fontId="10" numFmtId="0" xfId="0" applyBorder="1" applyFont="1"/>
    <xf borderId="29" fillId="2" fontId="7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/>
    </xf>
    <xf borderId="30" fillId="2" fontId="2" numFmtId="0" xfId="0" applyAlignment="1" applyBorder="1" applyFont="1">
      <alignment horizontal="center"/>
    </xf>
    <xf borderId="15" fillId="0" fontId="5" numFmtId="0" xfId="0" applyBorder="1" applyFont="1"/>
    <xf borderId="7" fillId="2" fontId="2" numFmtId="0" xfId="0" applyBorder="1" applyFont="1"/>
    <xf borderId="33" fillId="3" fontId="4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34" fillId="0" fontId="10" numFmtId="0" xfId="0" applyBorder="1" applyFont="1"/>
    <xf borderId="35" fillId="0" fontId="5" numFmtId="0" xfId="0" applyBorder="1" applyFont="1"/>
    <xf borderId="36" fillId="2" fontId="2" numFmtId="0" xfId="0" applyBorder="1" applyFont="1"/>
    <xf borderId="37" fillId="2" fontId="2" numFmtId="0" xfId="0" applyBorder="1" applyFont="1"/>
    <xf borderId="38" fillId="2" fontId="2" numFmtId="0" xfId="0" applyBorder="1" applyFont="1"/>
    <xf borderId="0" fillId="0" fontId="5" numFmtId="164" xfId="0" applyFont="1" applyNumberFormat="1"/>
    <xf borderId="39" fillId="0" fontId="5" numFmtId="0" xfId="0" applyAlignment="1" applyBorder="1" applyFont="1">
      <alignment horizontal="left"/>
    </xf>
    <xf borderId="39" fillId="0" fontId="5" numFmtId="0" xfId="0" applyBorder="1" applyFont="1"/>
    <xf borderId="40" fillId="3" fontId="4" numFmtId="0" xfId="0" applyBorder="1" applyFont="1"/>
    <xf borderId="25" fillId="3" fontId="4" numFmtId="0" xfId="0" applyBorder="1" applyFont="1"/>
    <xf borderId="41" fillId="2" fontId="2" numFmtId="14" xfId="0" applyAlignment="1" applyBorder="1" applyFont="1" applyNumberFormat="1">
      <alignment horizontal="center"/>
    </xf>
    <xf borderId="29" fillId="2" fontId="2" numFmtId="165" xfId="0" applyAlignment="1" applyBorder="1" applyFont="1" applyNumberFormat="1">
      <alignment horizontal="center"/>
    </xf>
    <xf borderId="29" fillId="2" fontId="2" numFmtId="166" xfId="0" applyAlignment="1" applyBorder="1" applyFont="1" applyNumberFormat="1">
      <alignment horizontal="center"/>
    </xf>
    <xf borderId="7" fillId="2" fontId="2" numFmtId="167" xfId="0" applyAlignment="1" applyBorder="1" applyFont="1" applyNumberFormat="1">
      <alignment horizontal="center"/>
    </xf>
    <xf borderId="29" fillId="2" fontId="2" numFmtId="168" xfId="0" applyAlignment="1" applyBorder="1" applyFont="1" applyNumberFormat="1">
      <alignment horizontal="center"/>
    </xf>
    <xf borderId="7" fillId="2" fontId="2" numFmtId="169" xfId="0" applyAlignment="1" applyBorder="1" applyFont="1" applyNumberFormat="1">
      <alignment horizontal="center"/>
    </xf>
    <xf borderId="29" fillId="2" fontId="2" numFmtId="170" xfId="0" applyAlignment="1" applyBorder="1" applyFont="1" applyNumberFormat="1">
      <alignment horizontal="center"/>
    </xf>
    <xf borderId="42" fillId="0" fontId="3" numFmtId="171" xfId="0" applyAlignment="1" applyBorder="1" applyFont="1" applyNumberFormat="1">
      <alignment horizontal="center"/>
    </xf>
    <xf borderId="43" fillId="3" fontId="3" numFmtId="0" xfId="0" applyAlignment="1" applyBorder="1" applyFont="1">
      <alignment horizontal="center" readingOrder="0"/>
    </xf>
    <xf borderId="43" fillId="3" fontId="3" numFmtId="165" xfId="0" applyAlignment="1" applyBorder="1" applyFont="1" applyNumberFormat="1">
      <alignment horizontal="center"/>
    </xf>
    <xf borderId="44" fillId="3" fontId="3" numFmtId="165" xfId="0" applyAlignment="1" applyBorder="1" applyFont="1" applyNumberFormat="1">
      <alignment horizontal="center"/>
    </xf>
    <xf borderId="45" fillId="0" fontId="3" numFmtId="171" xfId="0" applyAlignment="1" applyBorder="1" applyFont="1" applyNumberFormat="1">
      <alignment horizontal="center"/>
    </xf>
    <xf borderId="35" fillId="0" fontId="5" numFmtId="164" xfId="0" applyBorder="1" applyFont="1" applyNumberFormat="1"/>
    <xf borderId="46" fillId="0" fontId="3" numFmtId="171" xfId="0" applyAlignment="1" applyBorder="1" applyFont="1" applyNumberFormat="1">
      <alignment horizontal="center"/>
    </xf>
    <xf borderId="47" fillId="0" fontId="3" numFmtId="171" xfId="0" applyAlignment="1" applyBorder="1" applyFont="1" applyNumberFormat="1">
      <alignment horizontal="center"/>
    </xf>
    <xf borderId="0" fillId="0" fontId="5" numFmtId="14" xfId="0" applyFont="1" applyNumberFormat="1"/>
    <xf borderId="48" fillId="2" fontId="2" numFmtId="0" xfId="0" applyBorder="1" applyFont="1"/>
    <xf borderId="19" fillId="2" fontId="2" numFmtId="0" xfId="0" applyBorder="1" applyFont="1"/>
    <xf borderId="48" fillId="4" fontId="2" numFmtId="0" xfId="0" applyBorder="1" applyFill="1" applyFont="1"/>
    <xf borderId="25" fillId="4" fontId="2" numFmtId="0" xfId="0" applyBorder="1" applyFont="1"/>
    <xf borderId="6" fillId="4" fontId="2" numFmtId="0" xfId="0" applyBorder="1" applyFont="1"/>
    <xf borderId="7" fillId="4" fontId="2" numFmtId="0" xfId="0" applyBorder="1" applyFont="1"/>
    <xf borderId="49" fillId="4" fontId="5" numFmtId="0" xfId="0" applyBorder="1" applyFont="1"/>
    <xf borderId="25" fillId="4" fontId="5" numFmtId="0" xfId="0" applyBorder="1" applyFont="1"/>
    <xf borderId="48" fillId="3" fontId="4" numFmtId="0" xfId="0" applyBorder="1" applyFont="1"/>
    <xf borderId="50" fillId="2" fontId="9" numFmtId="0" xfId="0" applyAlignment="1" applyBorder="1" applyFont="1">
      <alignment horizontal="center"/>
    </xf>
    <xf borderId="29" fillId="2" fontId="9" numFmtId="0" xfId="0" applyAlignment="1" applyBorder="1" applyFont="1">
      <alignment horizontal="center"/>
    </xf>
    <xf borderId="51" fillId="0" fontId="6" numFmtId="0" xfId="0" applyBorder="1" applyFont="1"/>
    <xf borderId="52" fillId="3" fontId="6" numFmtId="0" xfId="0" applyBorder="1" applyFont="1"/>
    <xf borderId="0" fillId="3" fontId="8" numFmtId="0" xfId="0" applyFont="1"/>
    <xf borderId="43" fillId="3" fontId="6" numFmtId="0" xfId="0" applyBorder="1" applyFont="1"/>
    <xf borderId="53" fillId="0" fontId="6" numFmtId="0" xfId="0" applyBorder="1" applyFont="1"/>
    <xf borderId="54" fillId="3" fontId="6" numFmtId="0" xfId="0" applyBorder="1" applyFont="1"/>
    <xf borderId="55" fillId="0" fontId="6" numFmtId="0" xfId="0" applyBorder="1" applyFont="1"/>
    <xf borderId="56" fillId="3" fontId="6" numFmtId="0" xfId="0" applyBorder="1" applyFont="1"/>
    <xf borderId="57" fillId="3" fontId="6" numFmtId="0" xfId="0" applyBorder="1" applyFont="1"/>
    <xf borderId="58" fillId="0" fontId="6" numFmtId="0" xfId="0" applyBorder="1" applyFont="1"/>
    <xf borderId="0" fillId="0" fontId="11" numFmtId="0" xfId="0" applyFont="1"/>
    <xf borderId="59" fillId="2" fontId="12" numFmtId="0" xfId="0" applyAlignment="1" applyBorder="1" applyFont="1">
      <alignment horizontal="left" vertical="center"/>
    </xf>
    <xf borderId="60" fillId="2" fontId="2" numFmtId="0" xfId="0" applyAlignment="1" applyBorder="1" applyFont="1">
      <alignment horizontal="center" vertical="center"/>
    </xf>
    <xf borderId="61" fillId="2" fontId="2" numFmtId="0" xfId="0" applyAlignment="1" applyBorder="1" applyFont="1">
      <alignment horizontal="center" vertical="center"/>
    </xf>
    <xf borderId="62" fillId="0" fontId="13" numFmtId="0" xfId="0" applyAlignment="1" applyBorder="1" applyFont="1">
      <alignment horizontal="center"/>
    </xf>
    <xf borderId="12" fillId="0" fontId="13" numFmtId="0" xfId="0" applyAlignment="1" applyBorder="1" applyFont="1">
      <alignment horizontal="left"/>
    </xf>
    <xf borderId="14" fillId="0" fontId="10" numFmtId="0" xfId="0" applyBorder="1" applyFont="1"/>
    <xf borderId="63" fillId="0" fontId="13" numFmtId="0" xfId="0" applyAlignment="1" applyBorder="1" applyFont="1">
      <alignment horizontal="center"/>
    </xf>
    <xf borderId="64" fillId="0" fontId="13" numFmtId="0" xfId="0" applyAlignment="1" applyBorder="1" applyFont="1">
      <alignment horizontal="center"/>
    </xf>
    <xf borderId="65" fillId="0" fontId="13" numFmtId="0" xfId="0" applyAlignment="1" applyBorder="1" applyFont="1">
      <alignment horizontal="left"/>
    </xf>
    <xf borderId="15" fillId="0" fontId="10" numFmtId="0" xfId="0" applyBorder="1" applyFont="1"/>
    <xf borderId="66" fillId="0" fontId="10" numFmtId="0" xfId="0" applyBorder="1" applyFont="1"/>
    <xf borderId="67" fillId="3" fontId="4" numFmtId="0" xfId="0" applyAlignment="1" applyBorder="1" applyFont="1">
      <alignment horizontal="center" vertical="center"/>
    </xf>
    <xf borderId="30" fillId="2" fontId="2" numFmtId="0" xfId="0" applyAlignment="1" applyBorder="1" applyFont="1">
      <alignment horizontal="center" vertical="center"/>
    </xf>
    <xf borderId="68" fillId="0" fontId="10" numFmtId="0" xfId="0" applyBorder="1" applyFont="1"/>
    <xf borderId="69" fillId="0" fontId="10" numFmtId="0" xfId="0" applyBorder="1" applyFont="1"/>
    <xf borderId="70" fillId="0" fontId="13" numFmtId="0" xfId="0" applyAlignment="1" applyBorder="1" applyFont="1">
      <alignment horizontal="center"/>
    </xf>
    <xf borderId="9" fillId="0" fontId="10" numFmtId="0" xfId="0" applyBorder="1" applyFont="1"/>
    <xf borderId="71" fillId="0" fontId="10" numFmtId="0" xfId="0" applyBorder="1" applyFont="1"/>
    <xf borderId="70" fillId="3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72" fillId="0" fontId="10" numFmtId="0" xfId="0" applyBorder="1" applyFont="1"/>
    <xf borderId="70" fillId="2" fontId="2" numFmtId="0" xfId="0" applyAlignment="1" applyBorder="1" applyFont="1">
      <alignment horizontal="center" shrinkToFit="0" vertical="center" wrapText="1"/>
    </xf>
    <xf borderId="65" fillId="0" fontId="10" numFmtId="0" xfId="0" applyBorder="1" applyFont="1"/>
    <xf borderId="18" fillId="4" fontId="5" numFmtId="0" xfId="0" applyBorder="1" applyFont="1"/>
    <xf borderId="25" fillId="4" fontId="2" numFmtId="0" xfId="0" applyAlignment="1" applyBorder="1" applyFont="1">
      <alignment horizontal="left" shrinkToFit="0" vertical="center" wrapText="1"/>
    </xf>
    <xf borderId="7" fillId="4" fontId="2" numFmtId="0" xfId="0" applyAlignment="1" applyBorder="1" applyFont="1">
      <alignment horizontal="left" shrinkToFit="0" vertical="center" wrapText="1"/>
    </xf>
    <xf borderId="73" fillId="3" fontId="4" numFmtId="0" xfId="0" applyAlignment="1" applyBorder="1" applyFont="1">
      <alignment horizontal="left" shrinkToFit="0" vertical="center" wrapText="1"/>
    </xf>
    <xf borderId="74" fillId="0" fontId="10" numFmtId="0" xfId="0" applyBorder="1" applyFont="1"/>
    <xf borderId="75" fillId="0" fontId="10" numFmtId="0" xfId="0" applyBorder="1" applyFont="1"/>
    <xf borderId="49" fillId="4" fontId="4" numFmtId="0" xfId="0" applyAlignment="1" applyBorder="1" applyFont="1">
      <alignment horizontal="left" shrinkToFit="0" vertical="center" wrapText="1"/>
    </xf>
    <xf borderId="19" fillId="2" fontId="2" numFmtId="0" xfId="0" applyAlignment="1" applyBorder="1" applyFont="1">
      <alignment horizontal="center" vertical="center"/>
    </xf>
    <xf borderId="71" fillId="0" fontId="14" numFmtId="0" xfId="0" applyAlignment="1" applyBorder="1" applyFont="1">
      <alignment horizontal="center" vertical="center"/>
    </xf>
    <xf borderId="70" fillId="0" fontId="13" numFmtId="0" xfId="0" applyAlignment="1" applyBorder="1" applyFont="1">
      <alignment horizontal="center" vertical="center"/>
    </xf>
    <xf borderId="70" fillId="3" fontId="13" numFmtId="0" xfId="0" applyAlignment="1" applyBorder="1" applyFont="1">
      <alignment horizontal="center" readingOrder="0" vertical="center"/>
    </xf>
    <xf borderId="14" fillId="0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0" fillId="0" fontId="5" numFmtId="0" xfId="0" applyFont="1"/>
    <xf borderId="0" fillId="0" fontId="14" numFmtId="0" xfId="0" applyAlignment="1" applyFont="1">
      <alignment horizontal="center" vertical="center"/>
    </xf>
    <xf borderId="65" fillId="0" fontId="13" numFmtId="0" xfId="0" applyAlignment="1" applyBorder="1" applyFont="1">
      <alignment horizontal="center" vertical="center"/>
    </xf>
    <xf borderId="76" fillId="2" fontId="2" numFmtId="0" xfId="0" applyAlignment="1" applyBorder="1" applyFont="1">
      <alignment horizontal="left" vertical="center"/>
    </xf>
    <xf borderId="77" fillId="0" fontId="10" numFmtId="0" xfId="0" applyBorder="1" applyFont="1"/>
    <xf borderId="78" fillId="0" fontId="10" numFmtId="0" xfId="0" applyBorder="1" applyFont="1"/>
    <xf borderId="73" fillId="3" fontId="4" numFmtId="0" xfId="0" applyAlignment="1" applyBorder="1" applyFont="1">
      <alignment horizontal="left" vertical="center"/>
    </xf>
    <xf borderId="79" fillId="0" fontId="10" numFmtId="0" xfId="0" applyBorder="1" applyFont="1"/>
    <xf borderId="80" fillId="5" fontId="2" numFmtId="0" xfId="0" applyAlignment="1" applyBorder="1" applyFill="1" applyFont="1">
      <alignment horizontal="center" vertical="center"/>
    </xf>
    <xf borderId="30" fillId="5" fontId="2" numFmtId="0" xfId="0" applyAlignment="1" applyBorder="1" applyFont="1">
      <alignment horizontal="center" vertical="center"/>
    </xf>
    <xf borderId="81" fillId="5" fontId="2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/>
    </xf>
    <xf borderId="70" fillId="0" fontId="13" numFmtId="0" xfId="0" applyAlignment="1" applyBorder="1" applyFont="1">
      <alignment horizontal="left"/>
    </xf>
    <xf borderId="81" fillId="3" fontId="13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33" fillId="2" fontId="2" numFmtId="0" xfId="0" applyBorder="1" applyFont="1"/>
    <xf borderId="12" fillId="0" fontId="6" numFmtId="0" xfId="0" applyBorder="1" applyFont="1"/>
    <xf borderId="0" fillId="0" fontId="6" numFmtId="0" xfId="0" applyFont="1"/>
    <xf borderId="25" fillId="4" fontId="2" numFmtId="0" xfId="0" applyAlignment="1" applyBorder="1" applyFont="1">
      <alignment horizontal="center"/>
    </xf>
    <xf borderId="70" fillId="6" fontId="16" numFmtId="0" xfId="0" applyAlignment="1" applyBorder="1" applyFill="1" applyFont="1">
      <alignment horizontal="left" shrinkToFit="0" wrapText="1"/>
    </xf>
    <xf borderId="82" fillId="4" fontId="2" numFmtId="0" xfId="0" applyBorder="1" applyFont="1"/>
    <xf borderId="30" fillId="6" fontId="17" numFmtId="0" xfId="0" applyAlignment="1" applyBorder="1" applyFont="1">
      <alignment horizontal="center" shrinkToFit="0" wrapText="1"/>
    </xf>
    <xf borderId="30" fillId="6" fontId="17" numFmtId="0" xfId="0" applyAlignment="1" applyBorder="1" applyFont="1">
      <alignment horizontal="center"/>
    </xf>
    <xf borderId="83" fillId="0" fontId="6" numFmtId="0" xfId="0" applyAlignment="1" applyBorder="1" applyFont="1">
      <alignment horizontal="center"/>
    </xf>
    <xf borderId="84" fillId="0" fontId="10" numFmtId="0" xfId="0" applyBorder="1" applyFont="1"/>
    <xf borderId="85" fillId="0" fontId="10" numFmtId="0" xfId="0" applyBorder="1" applyFont="1"/>
    <xf borderId="86" fillId="6" fontId="6" numFmtId="0" xfId="0" applyBorder="1" applyFont="1"/>
    <xf borderId="25" fillId="6" fontId="6" numFmtId="0" xfId="0" applyBorder="1" applyFont="1"/>
    <xf borderId="6" fillId="6" fontId="6" numFmtId="0" xfId="0" applyBorder="1" applyFont="1"/>
    <xf borderId="8" fillId="6" fontId="6" numFmtId="0" xfId="0" applyBorder="1" applyFont="1"/>
    <xf borderId="87" fillId="0" fontId="6" numFmtId="0" xfId="0" applyAlignment="1" applyBorder="1" applyFont="1">
      <alignment horizontal="center"/>
    </xf>
    <xf borderId="88" fillId="0" fontId="10" numFmtId="0" xfId="0" applyBorder="1" applyFont="1"/>
    <xf borderId="89" fillId="0" fontId="10" numFmtId="0" xfId="0" applyBorder="1" applyFont="1"/>
    <xf borderId="90" fillId="6" fontId="6" numFmtId="0" xfId="0" applyBorder="1" applyFont="1"/>
    <xf borderId="91" fillId="0" fontId="6" numFmtId="0" xfId="0" applyAlignment="1" applyBorder="1" applyFont="1">
      <alignment horizontal="center"/>
    </xf>
    <xf borderId="92" fillId="0" fontId="10" numFmtId="0" xfId="0" applyBorder="1" applyFont="1"/>
    <xf borderId="93" fillId="0" fontId="10" numFmtId="0" xfId="0" applyBorder="1" applyFont="1"/>
    <xf borderId="18" fillId="4" fontId="2" numFmtId="0" xfId="0" applyBorder="1" applyFont="1"/>
    <xf borderId="94" fillId="2" fontId="2" numFmtId="0" xfId="0" applyAlignment="1" applyBorder="1" applyFont="1">
      <alignment horizontal="center" vertical="center"/>
    </xf>
    <xf borderId="25" fillId="4" fontId="6" numFmtId="0" xfId="0" applyBorder="1" applyFont="1"/>
    <xf borderId="43" fillId="4" fontId="6" numFmtId="0" xfId="0" applyAlignment="1" applyBorder="1" applyFont="1">
      <alignment horizontal="center"/>
    </xf>
    <xf borderId="43" fillId="3" fontId="6" numFmtId="0" xfId="0" applyAlignment="1" applyBorder="1" applyFont="1">
      <alignment horizontal="center"/>
    </xf>
    <xf borderId="43" fillId="3" fontId="6" numFmtId="10" xfId="0" applyAlignment="1" applyBorder="1" applyFont="1" applyNumberFormat="1">
      <alignment horizontal="center"/>
    </xf>
    <xf borderId="54" fillId="4" fontId="6" numFmtId="0" xfId="0" applyAlignment="1" applyBorder="1" applyFont="1">
      <alignment horizontal="center"/>
    </xf>
    <xf borderId="95" fillId="4" fontId="6" numFmtId="0" xfId="0" applyAlignment="1" applyBorder="1" applyFont="1">
      <alignment horizontal="center"/>
    </xf>
    <xf borderId="56" fillId="4" fontId="6" numFmtId="0" xfId="0" applyAlignment="1" applyBorder="1" applyFont="1">
      <alignment horizontal="center"/>
    </xf>
    <xf borderId="96" fillId="4" fontId="6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8</xdr:row>
      <xdr:rowOff>66675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238125</xdr:colOff>
      <xdr:row>21</xdr:row>
      <xdr:rowOff>66675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sk-1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6.57"/>
    <col customWidth="1" min="13" max="13" width="7.43"/>
    <col customWidth="1" min="14" max="26" width="4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</v>
      </c>
      <c r="B2" s="7">
        <f>SUMPRODUCT(LEN(A4:M27)=2)</f>
        <v>26</v>
      </c>
      <c r="C2" s="7"/>
      <c r="D2" s="7"/>
      <c r="E2" s="8"/>
      <c r="F2" s="7"/>
      <c r="G2" s="8"/>
      <c r="H2" s="7"/>
      <c r="I2" s="7"/>
      <c r="J2" s="7"/>
      <c r="K2" s="7"/>
      <c r="L2" s="8"/>
      <c r="M2" s="9"/>
    </row>
    <row r="3" ht="14.25" customHeight="1">
      <c r="A3" s="10"/>
      <c r="B3" s="11"/>
      <c r="C3" s="10"/>
      <c r="D3" s="10"/>
      <c r="E3" s="10"/>
      <c r="F3" s="10"/>
      <c r="G3" s="11"/>
      <c r="H3" s="11"/>
      <c r="I3" s="11"/>
      <c r="J3" s="10"/>
      <c r="K3" s="10"/>
      <c r="M3" s="10"/>
    </row>
    <row r="4" ht="14.25" customHeight="1">
      <c r="A4" s="12">
        <v>730.0</v>
      </c>
      <c r="B4" s="13">
        <v>640.0</v>
      </c>
      <c r="C4" s="14">
        <v>936.0</v>
      </c>
      <c r="D4" s="14">
        <v>30.0</v>
      </c>
      <c r="E4" s="14">
        <v>914.0</v>
      </c>
      <c r="F4" s="14">
        <v>786.0</v>
      </c>
      <c r="G4" s="13">
        <v>734.0</v>
      </c>
      <c r="H4" s="13">
        <v>329.0</v>
      </c>
      <c r="I4" s="13">
        <v>82.0</v>
      </c>
      <c r="J4" s="14">
        <v>672.0</v>
      </c>
      <c r="K4" s="14">
        <v>937.0</v>
      </c>
      <c r="L4" s="14">
        <v>563.763636363636</v>
      </c>
      <c r="M4" s="14">
        <v>554.845454545454</v>
      </c>
      <c r="N4" s="15"/>
    </row>
    <row r="5" ht="14.25" customHeight="1">
      <c r="A5" s="16">
        <v>250.0</v>
      </c>
      <c r="B5" s="13">
        <v>263.0</v>
      </c>
      <c r="C5" s="13">
        <v>462.0</v>
      </c>
      <c r="D5" s="13">
        <v>267.0</v>
      </c>
      <c r="E5" s="13">
        <v>291.0</v>
      </c>
      <c r="F5" s="13">
        <v>211.0</v>
      </c>
      <c r="G5" s="13">
        <v>920.0</v>
      </c>
      <c r="H5" s="13">
        <v>106.0</v>
      </c>
      <c r="I5" s="13">
        <v>682.0</v>
      </c>
      <c r="J5" s="13">
        <v>931.0</v>
      </c>
      <c r="K5" s="13">
        <v>367.0</v>
      </c>
      <c r="L5" s="13">
        <v>15.0</v>
      </c>
      <c r="M5" s="13">
        <v>303.0</v>
      </c>
      <c r="N5" s="15"/>
    </row>
    <row r="6" ht="14.25" customHeight="1">
      <c r="A6" s="16">
        <v>148.0</v>
      </c>
      <c r="B6" s="13">
        <v>684.0</v>
      </c>
      <c r="C6" s="13">
        <v>981.0</v>
      </c>
      <c r="D6" s="13">
        <v>171.0</v>
      </c>
      <c r="E6" s="13">
        <v>943.0</v>
      </c>
      <c r="F6" s="13">
        <v>556.0</v>
      </c>
      <c r="G6" s="13">
        <v>972.0</v>
      </c>
      <c r="H6" s="13">
        <v>360.0</v>
      </c>
      <c r="I6" s="13">
        <v>201.0</v>
      </c>
      <c r="J6" s="13">
        <v>128.0</v>
      </c>
      <c r="K6" s="13">
        <v>959.0</v>
      </c>
      <c r="L6" s="13">
        <v>828.0</v>
      </c>
      <c r="M6" s="13">
        <v>396.0</v>
      </c>
      <c r="N6" s="15"/>
    </row>
    <row r="7" ht="14.25" customHeight="1">
      <c r="A7" s="16">
        <v>390.0</v>
      </c>
      <c r="B7" s="13">
        <v>195.0</v>
      </c>
      <c r="C7" s="13">
        <v>740.0</v>
      </c>
      <c r="D7" s="13">
        <v>146.0</v>
      </c>
      <c r="E7" s="13">
        <v>783.0</v>
      </c>
      <c r="F7" s="13">
        <v>713.0</v>
      </c>
      <c r="G7" s="13">
        <v>782.0</v>
      </c>
      <c r="H7" s="13">
        <v>248.0</v>
      </c>
      <c r="I7" s="13">
        <v>621.0</v>
      </c>
      <c r="J7" s="13">
        <v>418.0</v>
      </c>
      <c r="K7" s="13">
        <v>854.0</v>
      </c>
      <c r="L7" s="13">
        <v>558.0</v>
      </c>
      <c r="M7" s="17">
        <v>711.0</v>
      </c>
    </row>
    <row r="8" ht="14.25" customHeight="1">
      <c r="A8" s="16">
        <v>15.0</v>
      </c>
      <c r="B8" s="13">
        <v>303.0</v>
      </c>
      <c r="C8" s="13">
        <v>2.0</v>
      </c>
      <c r="D8" s="13">
        <v>380.0</v>
      </c>
      <c r="E8" s="13">
        <v>829.0</v>
      </c>
      <c r="F8" s="13">
        <v>793.0</v>
      </c>
      <c r="G8" s="13">
        <v>973.0</v>
      </c>
      <c r="H8" s="13">
        <v>542.0</v>
      </c>
      <c r="I8" s="13">
        <v>551.0</v>
      </c>
      <c r="J8" s="13">
        <v>791.0</v>
      </c>
      <c r="K8" s="13">
        <v>989.0</v>
      </c>
      <c r="L8" s="13">
        <v>654.0</v>
      </c>
      <c r="M8" s="17">
        <v>160.0</v>
      </c>
    </row>
    <row r="9" ht="14.25" customHeight="1">
      <c r="A9" s="16">
        <v>828.0</v>
      </c>
      <c r="B9" s="13">
        <v>396.0</v>
      </c>
      <c r="C9" s="13">
        <v>273.0</v>
      </c>
      <c r="D9" s="13">
        <v>805.0</v>
      </c>
      <c r="E9" s="13">
        <v>279.0</v>
      </c>
      <c r="F9" s="13">
        <v>828.0</v>
      </c>
      <c r="G9" s="13">
        <v>903.0</v>
      </c>
      <c r="H9" s="13">
        <v>694.0</v>
      </c>
      <c r="I9" s="13">
        <v>434.0</v>
      </c>
      <c r="J9" s="13">
        <v>515.0</v>
      </c>
      <c r="K9" s="13">
        <v>243.0</v>
      </c>
      <c r="L9" s="13">
        <v>677.0</v>
      </c>
      <c r="M9" s="17">
        <v>429.0</v>
      </c>
    </row>
    <row r="10" ht="14.25" customHeight="1">
      <c r="A10" s="16">
        <v>558.0</v>
      </c>
      <c r="B10" s="13">
        <v>711.0</v>
      </c>
      <c r="C10" s="13">
        <v>442.0</v>
      </c>
      <c r="D10" s="13">
        <v>27.0</v>
      </c>
      <c r="E10" s="13">
        <v>257.0</v>
      </c>
      <c r="F10" s="13">
        <v>875.0</v>
      </c>
      <c r="G10" s="13">
        <v>880.0</v>
      </c>
      <c r="H10" s="13">
        <v>759.0</v>
      </c>
      <c r="I10" s="13">
        <v>886.0</v>
      </c>
      <c r="J10" s="13">
        <v>403.0</v>
      </c>
      <c r="K10" s="13">
        <v>291.0</v>
      </c>
      <c r="L10" s="13">
        <v>545.0</v>
      </c>
      <c r="M10" s="13">
        <v>934.0</v>
      </c>
      <c r="N10" s="15"/>
    </row>
    <row r="11" ht="14.25" customHeight="1">
      <c r="A11" s="16">
        <v>654.0</v>
      </c>
      <c r="B11" s="13">
        <v>160.0</v>
      </c>
      <c r="C11" s="13">
        <v>595.0</v>
      </c>
      <c r="D11" s="13">
        <v>443.0</v>
      </c>
      <c r="E11" s="13">
        <v>985.0</v>
      </c>
      <c r="F11" s="13">
        <v>611.0</v>
      </c>
      <c r="G11" s="13">
        <v>221.0</v>
      </c>
      <c r="H11" s="13">
        <v>527.0</v>
      </c>
      <c r="I11" s="13">
        <v>116.0</v>
      </c>
      <c r="J11" s="13">
        <v>744.0</v>
      </c>
      <c r="K11" s="13">
        <v>754.0</v>
      </c>
      <c r="L11" s="13">
        <v>480.0</v>
      </c>
      <c r="M11" s="13">
        <v>93.0</v>
      </c>
      <c r="N11" s="15"/>
    </row>
    <row r="12" ht="14.25" customHeight="1">
      <c r="A12" s="16">
        <v>677.0</v>
      </c>
      <c r="B12" s="13">
        <v>429.0</v>
      </c>
      <c r="C12" s="13">
        <v>19.0</v>
      </c>
      <c r="D12" s="13">
        <v>410.0</v>
      </c>
      <c r="E12" s="13">
        <v>687.0</v>
      </c>
      <c r="F12" s="13">
        <v>388.0</v>
      </c>
      <c r="G12" s="13">
        <v>890.0</v>
      </c>
      <c r="H12" s="13">
        <v>743.0</v>
      </c>
      <c r="I12" s="13">
        <v>593.0</v>
      </c>
      <c r="J12" s="13">
        <v>751.0</v>
      </c>
      <c r="K12" s="13">
        <v>109.0</v>
      </c>
      <c r="L12" s="13">
        <v>840.0</v>
      </c>
      <c r="M12" s="13">
        <v>775.0</v>
      </c>
      <c r="N12" s="15"/>
    </row>
    <row r="13" ht="14.25" customHeight="1">
      <c r="A13" s="16">
        <v>545.0</v>
      </c>
      <c r="B13" s="13">
        <v>934.0</v>
      </c>
      <c r="C13" s="13">
        <v>38.0</v>
      </c>
      <c r="D13" s="13">
        <v>264.0</v>
      </c>
      <c r="E13" s="13">
        <v>701.0</v>
      </c>
      <c r="F13" s="13">
        <v>248.0</v>
      </c>
      <c r="G13" s="13">
        <v>644.0</v>
      </c>
      <c r="H13" s="13">
        <v>627.0</v>
      </c>
      <c r="I13" s="13">
        <v>762.0</v>
      </c>
      <c r="J13" s="13">
        <v>689.0</v>
      </c>
      <c r="K13" s="13">
        <v>452.0</v>
      </c>
      <c r="L13" s="13">
        <v>2.0</v>
      </c>
      <c r="M13" s="13">
        <v>380.0</v>
      </c>
      <c r="N13" s="15"/>
    </row>
    <row r="14" ht="14.25" customHeight="1">
      <c r="A14" s="16">
        <v>480.0</v>
      </c>
      <c r="B14" s="13">
        <v>93.0</v>
      </c>
      <c r="C14" s="13">
        <v>765.0</v>
      </c>
      <c r="D14" s="13">
        <v>2.0</v>
      </c>
      <c r="E14" s="13">
        <v>219.0</v>
      </c>
      <c r="F14" s="13">
        <v>153.0</v>
      </c>
      <c r="G14" s="13">
        <v>333.0</v>
      </c>
      <c r="H14" s="13">
        <v>416.0</v>
      </c>
      <c r="I14" s="13">
        <v>756.0</v>
      </c>
      <c r="J14" s="13">
        <v>565.0</v>
      </c>
      <c r="K14" s="13">
        <v>6.0</v>
      </c>
      <c r="L14" s="13">
        <v>273.0</v>
      </c>
      <c r="M14" s="17">
        <v>805.0</v>
      </c>
    </row>
    <row r="15" ht="14.25" customHeight="1">
      <c r="A15" s="16">
        <v>840.0</v>
      </c>
      <c r="B15" s="13">
        <v>775.0</v>
      </c>
      <c r="C15" s="13">
        <v>245.0</v>
      </c>
      <c r="D15" s="13">
        <v>773.0</v>
      </c>
      <c r="E15" s="13">
        <v>508.0</v>
      </c>
      <c r="F15" s="13">
        <v>501.0</v>
      </c>
      <c r="G15" s="13">
        <v>709.0</v>
      </c>
      <c r="H15" s="13">
        <v>149.0</v>
      </c>
      <c r="I15" s="13">
        <v>377.0</v>
      </c>
      <c r="J15" s="13">
        <v>893.0</v>
      </c>
      <c r="K15" s="13">
        <v>659.0</v>
      </c>
      <c r="L15" s="13">
        <v>442.0</v>
      </c>
      <c r="M15" s="13">
        <v>27.0</v>
      </c>
      <c r="N15" s="15"/>
    </row>
    <row r="16" ht="14.25" customHeight="1">
      <c r="A16" s="16">
        <v>293.0</v>
      </c>
      <c r="B16" s="13">
        <v>416.0</v>
      </c>
      <c r="C16" s="13">
        <v>173.0</v>
      </c>
      <c r="D16" s="13">
        <v>588.0</v>
      </c>
      <c r="E16" s="13">
        <v>193.0</v>
      </c>
      <c r="F16" s="13">
        <v>30.0</v>
      </c>
      <c r="G16" s="13">
        <v>288.0</v>
      </c>
      <c r="H16" s="13">
        <v>257.0</v>
      </c>
      <c r="I16" s="13">
        <v>47.0</v>
      </c>
      <c r="J16" s="13">
        <v>111.0</v>
      </c>
      <c r="K16" s="13">
        <v>402.0</v>
      </c>
      <c r="L16" s="13">
        <v>595.0</v>
      </c>
      <c r="M16" s="17">
        <v>443.0</v>
      </c>
    </row>
    <row r="17" ht="14.25" customHeight="1">
      <c r="A17" s="16">
        <v>448.0</v>
      </c>
      <c r="B17" s="13">
        <v>673.0</v>
      </c>
      <c r="C17" s="13">
        <v>744.0</v>
      </c>
      <c r="D17" s="13">
        <v>50.0</v>
      </c>
      <c r="E17" s="13">
        <v>612.0</v>
      </c>
      <c r="F17" s="13">
        <v>911.0</v>
      </c>
      <c r="G17" s="13">
        <v>353.0</v>
      </c>
      <c r="H17" s="13">
        <v>31.0</v>
      </c>
      <c r="I17" s="13">
        <v>368.0</v>
      </c>
      <c r="J17" s="13">
        <v>319.0</v>
      </c>
      <c r="K17" s="13">
        <v>716.0</v>
      </c>
      <c r="L17" s="13">
        <v>19.0</v>
      </c>
      <c r="M17" s="17">
        <v>410.0</v>
      </c>
    </row>
    <row r="18" ht="14.25" customHeight="1">
      <c r="A18" s="16">
        <v>78.0</v>
      </c>
      <c r="B18" s="13">
        <v>501.0</v>
      </c>
      <c r="C18" s="13">
        <v>199.0</v>
      </c>
      <c r="D18" s="13">
        <v>207.0</v>
      </c>
      <c r="E18" s="13">
        <v>315.0</v>
      </c>
      <c r="F18" s="13">
        <v>152.0</v>
      </c>
      <c r="G18" s="13">
        <v>576.0</v>
      </c>
      <c r="H18" s="13">
        <v>399.0</v>
      </c>
      <c r="I18" s="13">
        <v>576.0</v>
      </c>
      <c r="J18" s="13">
        <v>766.0</v>
      </c>
      <c r="K18" s="13">
        <v>692.0</v>
      </c>
      <c r="L18" s="13">
        <v>38.0</v>
      </c>
      <c r="M18" s="17">
        <v>264.0</v>
      </c>
    </row>
    <row r="19" ht="14.25" customHeight="1">
      <c r="A19" s="16">
        <v>513.0</v>
      </c>
      <c r="B19" s="13">
        <v>69.0</v>
      </c>
      <c r="C19" s="13">
        <v>340.0</v>
      </c>
      <c r="D19" s="13">
        <v>817.0</v>
      </c>
      <c r="E19" s="13">
        <v>915.0</v>
      </c>
      <c r="F19" s="13">
        <v>57.0</v>
      </c>
      <c r="G19" s="13">
        <v>623.0</v>
      </c>
      <c r="H19" s="13">
        <v>486.0</v>
      </c>
      <c r="I19" s="13">
        <v>288.0</v>
      </c>
      <c r="J19" s="13">
        <v>909.0</v>
      </c>
      <c r="K19" s="13">
        <v>327.0</v>
      </c>
      <c r="L19" s="13">
        <v>765.0</v>
      </c>
      <c r="M19" s="17">
        <v>2.0</v>
      </c>
    </row>
    <row r="20" ht="14.25" customHeight="1">
      <c r="A20" s="16">
        <v>690.0</v>
      </c>
      <c r="B20" s="13">
        <v>167.0</v>
      </c>
      <c r="C20" s="13">
        <v>951.0</v>
      </c>
      <c r="D20" s="13">
        <v>618.0</v>
      </c>
      <c r="E20" s="13">
        <v>333.0</v>
      </c>
      <c r="F20" s="13">
        <v>591.0</v>
      </c>
      <c r="G20" s="13">
        <v>954.0</v>
      </c>
      <c r="H20" s="13">
        <v>625.0</v>
      </c>
      <c r="I20" s="13">
        <v>574.0</v>
      </c>
      <c r="J20" s="13">
        <v>539.0</v>
      </c>
      <c r="K20" s="13">
        <v>376.0</v>
      </c>
      <c r="L20" s="13">
        <v>245.0</v>
      </c>
      <c r="M20" s="17">
        <v>773.0</v>
      </c>
    </row>
    <row r="21" ht="14.25" customHeight="1">
      <c r="A21" s="16">
        <v>340.0</v>
      </c>
      <c r="B21" s="13">
        <v>674.0</v>
      </c>
      <c r="C21" s="13">
        <v>649.0</v>
      </c>
      <c r="D21" s="13">
        <v>233.0</v>
      </c>
      <c r="E21" s="13">
        <v>175.0</v>
      </c>
      <c r="F21" s="13">
        <v>887.0</v>
      </c>
      <c r="G21" s="13">
        <v>467.0</v>
      </c>
      <c r="H21" s="13">
        <v>821.0</v>
      </c>
      <c r="I21" s="13">
        <v>663.0</v>
      </c>
      <c r="J21" s="13">
        <v>254.0</v>
      </c>
      <c r="K21" s="13">
        <v>806.0</v>
      </c>
      <c r="L21" s="13">
        <v>829.0</v>
      </c>
      <c r="M21" s="17">
        <v>793.0</v>
      </c>
    </row>
    <row r="22" ht="14.25" customHeight="1">
      <c r="A22" s="16">
        <v>457.0</v>
      </c>
      <c r="B22" s="13">
        <v>339.0</v>
      </c>
      <c r="C22" s="13">
        <v>274.0</v>
      </c>
      <c r="D22" s="13">
        <v>954.0</v>
      </c>
      <c r="E22" s="13">
        <v>503.0</v>
      </c>
      <c r="F22" s="13">
        <v>798.0</v>
      </c>
      <c r="G22" s="13">
        <v>63.0</v>
      </c>
      <c r="H22" s="13">
        <v>874.0</v>
      </c>
      <c r="I22" s="13">
        <v>614.0</v>
      </c>
      <c r="J22" s="13">
        <v>774.0</v>
      </c>
      <c r="K22" s="13">
        <v>603.0</v>
      </c>
      <c r="L22" s="13">
        <v>279.0</v>
      </c>
      <c r="M22" s="17">
        <v>828.0</v>
      </c>
    </row>
    <row r="23" ht="14.25" customHeight="1">
      <c r="A23" s="16">
        <v>367.0</v>
      </c>
      <c r="B23" s="13">
        <v>265.0</v>
      </c>
      <c r="C23" s="13">
        <v>843.0</v>
      </c>
      <c r="D23" s="13">
        <v>429.0</v>
      </c>
      <c r="E23" s="13">
        <v>297.0</v>
      </c>
      <c r="F23" s="13">
        <v>249.0</v>
      </c>
      <c r="G23" s="13">
        <v>742.0</v>
      </c>
      <c r="H23" s="13">
        <v>897.0</v>
      </c>
      <c r="I23" s="13">
        <v>494.0</v>
      </c>
      <c r="J23" s="13">
        <v>319.0</v>
      </c>
      <c r="K23" s="13">
        <v>837.0</v>
      </c>
      <c r="L23" s="13">
        <v>257.0</v>
      </c>
      <c r="M23" s="17">
        <v>875.0</v>
      </c>
    </row>
    <row r="24" ht="14.25" customHeight="1">
      <c r="A24" s="16">
        <v>698.0</v>
      </c>
      <c r="B24" s="13">
        <v>808.0</v>
      </c>
      <c r="C24" s="13">
        <v>391.0</v>
      </c>
      <c r="D24" s="13">
        <v>526.0</v>
      </c>
      <c r="E24" s="13">
        <v>100.0</v>
      </c>
      <c r="F24" s="13">
        <v>716.0</v>
      </c>
      <c r="G24" s="13">
        <v>215.0</v>
      </c>
      <c r="H24" s="13">
        <v>217.0</v>
      </c>
      <c r="I24" s="13">
        <v>484.0</v>
      </c>
      <c r="J24" s="13">
        <v>413.0</v>
      </c>
      <c r="K24" s="13">
        <v>97.0</v>
      </c>
      <c r="L24" s="13">
        <v>985.0</v>
      </c>
      <c r="M24" s="13">
        <v>611.0</v>
      </c>
      <c r="N24" s="15"/>
    </row>
    <row r="25" ht="14.25" customHeight="1">
      <c r="A25" s="16">
        <v>495.0</v>
      </c>
      <c r="B25" s="13">
        <v>157.0</v>
      </c>
      <c r="C25" s="13">
        <v>226.0</v>
      </c>
      <c r="D25" s="13">
        <v>394.0</v>
      </c>
      <c r="E25" s="13">
        <v>409.0</v>
      </c>
      <c r="F25" s="13">
        <v>604.0</v>
      </c>
      <c r="G25" s="13">
        <v>864.0</v>
      </c>
      <c r="H25" s="13">
        <v>42.0</v>
      </c>
      <c r="I25" s="13">
        <v>480.0</v>
      </c>
      <c r="J25" s="13">
        <v>482.0</v>
      </c>
      <c r="K25" s="13">
        <v>705.0</v>
      </c>
      <c r="L25" s="13">
        <v>687.0</v>
      </c>
      <c r="M25" s="13">
        <v>388.0</v>
      </c>
      <c r="N25" s="15"/>
    </row>
    <row r="26" ht="14.25" customHeight="1">
      <c r="A26" s="16">
        <v>236.0</v>
      </c>
      <c r="B26" s="13">
        <v>636.0</v>
      </c>
      <c r="C26" s="13">
        <v>662.0</v>
      </c>
      <c r="D26" s="13">
        <v>40.0</v>
      </c>
      <c r="E26" s="13">
        <v>994.0</v>
      </c>
      <c r="F26" s="13">
        <v>390.0</v>
      </c>
      <c r="G26" s="13">
        <v>228.0</v>
      </c>
      <c r="H26" s="13">
        <v>654.0</v>
      </c>
      <c r="I26" s="13">
        <v>678.0</v>
      </c>
      <c r="J26" s="13">
        <v>76.0</v>
      </c>
      <c r="K26" s="13">
        <v>478.0</v>
      </c>
      <c r="L26" s="13">
        <v>701.0</v>
      </c>
      <c r="M26" s="13">
        <v>248.0</v>
      </c>
      <c r="N26" s="15"/>
    </row>
    <row r="27" ht="14.25" customHeight="1">
      <c r="A27" s="16">
        <v>485.0</v>
      </c>
      <c r="B27" s="13">
        <v>812.0</v>
      </c>
      <c r="C27" s="13">
        <v>84.0</v>
      </c>
      <c r="D27" s="13">
        <v>633.0</v>
      </c>
      <c r="E27" s="13">
        <v>639.0</v>
      </c>
      <c r="F27" s="13">
        <v>954.0</v>
      </c>
      <c r="G27" s="13">
        <v>79.0</v>
      </c>
      <c r="H27" s="18">
        <v>918.0</v>
      </c>
      <c r="I27" s="18">
        <v>3.0</v>
      </c>
      <c r="J27" s="18">
        <v>630.0</v>
      </c>
      <c r="K27" s="13">
        <v>948.0</v>
      </c>
      <c r="L27" s="13">
        <v>219.0</v>
      </c>
      <c r="M27" s="13">
        <v>153.0</v>
      </c>
      <c r="N27" s="15"/>
    </row>
    <row r="28" ht="14.25" customHeight="1">
      <c r="A28" s="10"/>
      <c r="B28" s="10"/>
      <c r="C28" s="10"/>
      <c r="D28" s="10"/>
      <c r="E28" s="10"/>
      <c r="F28" s="10"/>
      <c r="G28" s="10"/>
      <c r="K28" s="10"/>
      <c r="L28" s="10"/>
      <c r="M28" s="1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4:M27 K28:M28 O21:Z28">
    <cfRule type="expression" dxfId="0" priority="1" stopIfTrue="1">
      <formula>IF(AND($A$4:$K$27&gt;10, $A$4:$K$27&lt;100),1,0)</formula>
    </cfRule>
  </conditionalFormatting>
  <hyperlinks>
    <hyperlink r:id="rId1" ref="A1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8.71"/>
    <col customWidth="1" min="5" max="5" width="17.86"/>
    <col customWidth="1" min="6" max="26" width="8.71"/>
  </cols>
  <sheetData>
    <row r="1" ht="14.25" customHeight="1">
      <c r="A1" s="19" t="s">
        <v>2</v>
      </c>
      <c r="B1" s="3"/>
      <c r="C1" s="3"/>
      <c r="D1" s="2"/>
      <c r="E1" s="2"/>
      <c r="F1" s="20"/>
    </row>
    <row r="2" ht="14.25" customHeight="1">
      <c r="A2" s="21" t="s">
        <v>1</v>
      </c>
      <c r="B2" s="22">
        <f>COUNTIF(A4:F10,"??")</f>
        <v>24</v>
      </c>
      <c r="C2" s="22"/>
      <c r="D2" s="8"/>
      <c r="E2" s="8"/>
      <c r="F2" s="23"/>
      <c r="G2" s="15"/>
    </row>
    <row r="3" ht="14.25" customHeight="1">
      <c r="C3" s="11"/>
      <c r="D3" s="10"/>
      <c r="E3" s="11"/>
      <c r="F3" s="11"/>
    </row>
    <row r="4" ht="14.25" customHeight="1">
      <c r="A4" s="12" t="s">
        <v>3</v>
      </c>
      <c r="B4" s="14" t="s">
        <v>4</v>
      </c>
      <c r="C4" s="13" t="s">
        <v>5</v>
      </c>
      <c r="D4" s="14" t="s">
        <v>6</v>
      </c>
      <c r="E4" s="13" t="s">
        <v>7</v>
      </c>
      <c r="F4" s="13" t="s">
        <v>8</v>
      </c>
      <c r="G4" s="24"/>
    </row>
    <row r="5" ht="14.25" customHeight="1">
      <c r="A5" s="16" t="s">
        <v>7</v>
      </c>
      <c r="B5" s="13" t="s">
        <v>9</v>
      </c>
      <c r="C5" s="13" t="s">
        <v>10</v>
      </c>
      <c r="D5" s="13" t="s">
        <v>11</v>
      </c>
      <c r="E5" s="13" t="s">
        <v>7</v>
      </c>
      <c r="F5" s="13" t="s">
        <v>12</v>
      </c>
      <c r="G5" s="15"/>
    </row>
    <row r="6" ht="14.25" customHeight="1">
      <c r="A6" s="16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14</v>
      </c>
      <c r="G6" s="15"/>
    </row>
    <row r="7" ht="14.25" customHeight="1">
      <c r="A7" s="16" t="s">
        <v>18</v>
      </c>
      <c r="B7" s="13" t="s">
        <v>19</v>
      </c>
      <c r="C7" s="13" t="s">
        <v>19</v>
      </c>
      <c r="D7" s="13" t="s">
        <v>16</v>
      </c>
      <c r="E7" s="13" t="s">
        <v>18</v>
      </c>
      <c r="F7" s="13" t="s">
        <v>20</v>
      </c>
      <c r="G7" s="15"/>
    </row>
    <row r="8" ht="14.25" customHeight="1">
      <c r="A8" s="16" t="s">
        <v>21</v>
      </c>
      <c r="B8" s="13" t="s">
        <v>22</v>
      </c>
      <c r="C8" s="13" t="s">
        <v>11</v>
      </c>
      <c r="D8" s="13" t="s">
        <v>23</v>
      </c>
      <c r="E8" s="13" t="s">
        <v>24</v>
      </c>
      <c r="F8" s="17" t="s">
        <v>25</v>
      </c>
    </row>
    <row r="9" ht="14.25" customHeight="1">
      <c r="A9" s="16" t="s">
        <v>26</v>
      </c>
      <c r="B9" s="13" t="s">
        <v>22</v>
      </c>
      <c r="C9" s="13" t="s">
        <v>27</v>
      </c>
      <c r="D9" s="13" t="s">
        <v>27</v>
      </c>
      <c r="E9" s="13" t="s">
        <v>26</v>
      </c>
      <c r="F9" s="13" t="s">
        <v>28</v>
      </c>
      <c r="G9" s="15"/>
    </row>
    <row r="10" ht="14.25" customHeight="1">
      <c r="A10" s="16" t="s">
        <v>26</v>
      </c>
      <c r="B10" s="18" t="s">
        <v>26</v>
      </c>
      <c r="C10" s="18" t="s">
        <v>27</v>
      </c>
      <c r="D10" s="18" t="s">
        <v>29</v>
      </c>
      <c r="E10" s="13" t="s">
        <v>30</v>
      </c>
      <c r="F10" s="13" t="s">
        <v>31</v>
      </c>
      <c r="G10" s="15"/>
    </row>
    <row r="11" ht="14.25" customHeight="1">
      <c r="A11" s="10"/>
      <c r="E11" s="10"/>
      <c r="F11" s="1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>
      <c r="A1" s="25" t="s">
        <v>32</v>
      </c>
      <c r="B1" s="3"/>
      <c r="C1" s="2"/>
      <c r="D1" s="3"/>
      <c r="E1" s="2"/>
      <c r="F1" s="3"/>
      <c r="G1" s="3"/>
      <c r="H1" s="2"/>
      <c r="I1" s="4"/>
    </row>
    <row r="2" ht="14.25" customHeight="1">
      <c r="A2" s="26"/>
      <c r="B2" s="27"/>
      <c r="C2" s="28"/>
      <c r="D2" s="27"/>
      <c r="E2" s="29"/>
      <c r="F2" s="27"/>
      <c r="G2" s="27"/>
      <c r="H2" s="28"/>
    </row>
    <row r="3" ht="14.25" customHeight="1">
      <c r="A3" s="30" t="s">
        <v>33</v>
      </c>
      <c r="B3" s="31" t="s">
        <v>34</v>
      </c>
      <c r="C3" s="3"/>
      <c r="D3" s="2"/>
      <c r="E3" s="32"/>
      <c r="F3" s="3"/>
      <c r="G3" s="2"/>
      <c r="H3" s="3"/>
      <c r="I3" s="33"/>
      <c r="J3" s="34"/>
    </row>
    <row r="4" ht="14.25" customHeight="1">
      <c r="A4" s="29"/>
      <c r="B4" s="29"/>
      <c r="C4" s="27"/>
      <c r="D4" s="29"/>
      <c r="E4" s="29"/>
      <c r="F4" s="26"/>
      <c r="G4" s="29"/>
      <c r="H4" s="27"/>
      <c r="I4" s="11"/>
    </row>
    <row r="5" ht="14.25" customHeight="1">
      <c r="A5" s="21" t="s">
        <v>1</v>
      </c>
      <c r="B5" s="8">
        <f>LEN(B3)-LEN(SUBSTITUTE(B3," " ,""))</f>
        <v>9</v>
      </c>
      <c r="C5" s="7"/>
      <c r="D5" s="7"/>
      <c r="E5" s="8"/>
      <c r="F5" s="8"/>
      <c r="G5" s="8"/>
      <c r="H5" s="7"/>
      <c r="I5" s="35"/>
      <c r="J5" s="15"/>
    </row>
    <row r="6" ht="14.25" customHeight="1">
      <c r="A6" s="27"/>
      <c r="B6" s="29"/>
      <c r="C6" s="36"/>
      <c r="D6" s="28"/>
      <c r="E6" s="27"/>
      <c r="F6" s="29"/>
      <c r="G6" s="27"/>
      <c r="H6" s="36"/>
      <c r="I6" s="10"/>
    </row>
    <row r="7" ht="14.25" customHeight="1">
      <c r="A7" s="37" t="s">
        <v>35</v>
      </c>
      <c r="B7" s="38"/>
      <c r="C7" s="32"/>
      <c r="D7" s="2"/>
      <c r="E7" s="2"/>
      <c r="F7" s="38"/>
      <c r="G7" s="2"/>
      <c r="H7" s="32"/>
      <c r="I7" s="39"/>
    </row>
    <row r="8" ht="14.25" customHeight="1">
      <c r="A8" s="11"/>
      <c r="B8" s="11"/>
      <c r="C8" s="11"/>
      <c r="D8" s="11"/>
      <c r="E8" s="11"/>
      <c r="F8" s="11"/>
      <c r="G8" s="11"/>
      <c r="H8" s="11"/>
      <c r="I8" s="11"/>
    </row>
    <row r="9" ht="14.25" customHeight="1">
      <c r="A9" s="6" t="s">
        <v>1</v>
      </c>
      <c r="B9" s="8">
        <f>LEN(SUBSTITUTE(B3," ",""))</f>
        <v>41</v>
      </c>
      <c r="C9" s="7"/>
      <c r="D9" s="7"/>
      <c r="E9" s="7"/>
      <c r="F9" s="7"/>
      <c r="G9" s="7"/>
      <c r="H9" s="8"/>
      <c r="I9" s="23"/>
    </row>
    <row r="10" ht="14.25" customHeight="1">
      <c r="A10" s="10"/>
      <c r="C10" s="10"/>
      <c r="D10" s="10"/>
      <c r="E10" s="10"/>
      <c r="F10" s="10"/>
      <c r="G10" s="10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9.43"/>
    <col customWidth="1" min="4" max="4" width="7.57"/>
    <col customWidth="1" min="5" max="5" width="8.57"/>
    <col customWidth="1" min="6" max="6" width="11.71"/>
    <col customWidth="1" min="7" max="7" width="10.29"/>
    <col customWidth="1" min="8" max="12" width="8.71"/>
    <col customWidth="1" hidden="1" min="13" max="13" width="8.71"/>
    <col customWidth="1" min="14" max="15" width="8.71"/>
    <col customWidth="1" min="16" max="16" width="14.43"/>
    <col customWidth="1" min="17" max="26" width="8.71"/>
  </cols>
  <sheetData>
    <row r="1" ht="18.75" customHeight="1">
      <c r="A1" s="40" t="s">
        <v>36</v>
      </c>
      <c r="B1" s="41"/>
      <c r="C1" s="41"/>
      <c r="D1" s="38"/>
      <c r="E1" s="38"/>
      <c r="F1" s="38"/>
      <c r="G1" s="38"/>
      <c r="H1" s="38"/>
      <c r="I1" s="38"/>
      <c r="J1" s="38"/>
      <c r="K1" s="38"/>
      <c r="L1" s="38"/>
      <c r="M1" s="42">
        <v>1.0</v>
      </c>
      <c r="N1" s="43"/>
      <c r="O1" s="44" t="s">
        <v>37</v>
      </c>
      <c r="P1" s="44" t="s">
        <v>38</v>
      </c>
    </row>
    <row r="2" ht="18.0" customHeight="1">
      <c r="A2" s="45" t="s">
        <v>1</v>
      </c>
      <c r="B2" s="46" t="s">
        <v>39</v>
      </c>
      <c r="C2" s="47" t="s">
        <v>40</v>
      </c>
      <c r="D2" s="48" t="s">
        <v>41</v>
      </c>
      <c r="E2" s="49"/>
      <c r="F2" s="49"/>
      <c r="G2" s="49"/>
      <c r="H2" s="49"/>
      <c r="I2" s="49"/>
      <c r="J2" s="49"/>
      <c r="K2" s="49"/>
      <c r="L2" s="50"/>
      <c r="O2" s="51" t="s">
        <v>4</v>
      </c>
      <c r="P2" s="52">
        <v>40825.0</v>
      </c>
    </row>
    <row r="3" ht="18.0" customHeight="1">
      <c r="A3" s="53"/>
      <c r="B3" s="54">
        <v>12.0</v>
      </c>
      <c r="C3" s="55" t="s">
        <v>42</v>
      </c>
      <c r="D3" s="56"/>
      <c r="E3" s="49"/>
      <c r="F3" s="49"/>
      <c r="G3" s="49"/>
      <c r="H3" s="49"/>
      <c r="I3" s="49"/>
      <c r="J3" s="49"/>
      <c r="K3" s="49"/>
      <c r="L3" s="50"/>
      <c r="O3" s="51" t="s">
        <v>43</v>
      </c>
      <c r="P3" s="52">
        <v>40826.0</v>
      </c>
    </row>
    <row r="4" ht="14.25" customHeight="1">
      <c r="A4" s="11"/>
      <c r="E4" s="11"/>
      <c r="F4" s="11"/>
      <c r="G4" s="11"/>
      <c r="I4" s="11"/>
      <c r="J4" s="57"/>
      <c r="K4" s="11"/>
      <c r="L4" s="11"/>
      <c r="O4" s="51" t="s">
        <v>44</v>
      </c>
      <c r="P4" s="52">
        <v>40827.0</v>
      </c>
    </row>
    <row r="5" ht="14.25" customHeight="1">
      <c r="A5" s="37" t="s">
        <v>45</v>
      </c>
      <c r="B5" s="32"/>
      <c r="C5" s="58"/>
      <c r="D5" s="32"/>
      <c r="E5" s="32"/>
      <c r="F5" s="32"/>
      <c r="G5" s="32"/>
      <c r="H5" s="32"/>
      <c r="I5" s="38"/>
      <c r="J5" s="38"/>
      <c r="K5" s="32"/>
      <c r="L5" s="38"/>
      <c r="M5" s="42">
        <v>2.0</v>
      </c>
      <c r="N5" s="43"/>
      <c r="O5" s="51" t="s">
        <v>46</v>
      </c>
      <c r="P5" s="52">
        <v>40828.0</v>
      </c>
    </row>
    <row r="6" ht="14.25" customHeight="1">
      <c r="A6" s="45" t="s">
        <v>1</v>
      </c>
      <c r="B6" s="59" t="s">
        <v>47</v>
      </c>
      <c r="C6" s="46" t="s">
        <v>40</v>
      </c>
      <c r="D6" s="48" t="s">
        <v>41</v>
      </c>
      <c r="E6" s="49"/>
      <c r="F6" s="49"/>
      <c r="G6" s="49"/>
      <c r="H6" s="49"/>
      <c r="I6" s="49"/>
      <c r="J6" s="49"/>
      <c r="K6" s="49"/>
      <c r="L6" s="50"/>
      <c r="M6" s="42">
        <v>3.0</v>
      </c>
      <c r="O6" s="51" t="s">
        <v>48</v>
      </c>
      <c r="P6" s="52">
        <v>40829.0</v>
      </c>
    </row>
    <row r="7" ht="14.25" customHeight="1">
      <c r="A7" s="53"/>
      <c r="B7" s="60">
        <v>2011.0</v>
      </c>
      <c r="C7" s="61" t="s">
        <v>4</v>
      </c>
      <c r="D7" s="56"/>
      <c r="E7" s="49"/>
      <c r="F7" s="49"/>
      <c r="G7" s="49"/>
      <c r="H7" s="49"/>
      <c r="I7" s="49"/>
      <c r="J7" s="49"/>
      <c r="K7" s="49"/>
      <c r="L7" s="62"/>
      <c r="M7" s="42">
        <v>4.0</v>
      </c>
      <c r="N7" s="43"/>
      <c r="O7" s="51" t="s">
        <v>49</v>
      </c>
      <c r="P7" s="52">
        <v>40830.0</v>
      </c>
    </row>
    <row r="8" ht="14.25" customHeight="1">
      <c r="A8" s="10"/>
      <c r="B8" s="10"/>
      <c r="C8" s="10"/>
      <c r="D8" s="10"/>
      <c r="F8" s="10"/>
      <c r="K8" s="10"/>
      <c r="L8" s="10"/>
      <c r="M8" s="42">
        <v>5.0</v>
      </c>
      <c r="O8" s="51" t="s">
        <v>50</v>
      </c>
      <c r="P8" s="52">
        <v>40831.0</v>
      </c>
    </row>
    <row r="9" ht="14.25" customHeight="1">
      <c r="M9" s="42">
        <v>6.0</v>
      </c>
      <c r="O9" s="51" t="s">
        <v>51</v>
      </c>
      <c r="P9" s="52">
        <v>40832.0</v>
      </c>
    </row>
    <row r="10" ht="14.25" customHeight="1">
      <c r="M10" s="42">
        <v>7.0</v>
      </c>
      <c r="O10" s="51" t="s">
        <v>4</v>
      </c>
      <c r="P10" s="52">
        <v>40833.0</v>
      </c>
    </row>
    <row r="11" ht="14.25" customHeight="1">
      <c r="E11" s="63"/>
      <c r="M11" s="42">
        <v>8.0</v>
      </c>
      <c r="O11" s="51" t="s">
        <v>43</v>
      </c>
      <c r="P11" s="52">
        <v>40834.0</v>
      </c>
    </row>
    <row r="12" ht="14.25" customHeight="1">
      <c r="M12" s="42">
        <v>9.0</v>
      </c>
      <c r="O12" s="51" t="s">
        <v>44</v>
      </c>
      <c r="P12" s="52">
        <v>40835.0</v>
      </c>
    </row>
    <row r="13" ht="14.25" customHeight="1">
      <c r="M13" s="42">
        <v>10.0</v>
      </c>
      <c r="O13" s="51" t="s">
        <v>46</v>
      </c>
      <c r="P13" s="52">
        <v>40836.0</v>
      </c>
    </row>
    <row r="14" ht="14.25" customHeight="1">
      <c r="M14" s="42">
        <v>11.0</v>
      </c>
      <c r="O14" s="51" t="s">
        <v>48</v>
      </c>
      <c r="P14" s="52">
        <v>40837.0</v>
      </c>
    </row>
    <row r="15" ht="14.25" customHeight="1">
      <c r="M15" s="42">
        <v>12.0</v>
      </c>
      <c r="O15" s="51" t="s">
        <v>49</v>
      </c>
      <c r="P15" s="52">
        <v>40838.0</v>
      </c>
    </row>
    <row r="16" ht="14.25" customHeight="1">
      <c r="O16" s="51" t="s">
        <v>50</v>
      </c>
      <c r="P16" s="52">
        <v>40839.0</v>
      </c>
    </row>
    <row r="17" ht="14.25" customHeight="1">
      <c r="O17" s="51" t="s">
        <v>51</v>
      </c>
      <c r="P17" s="52">
        <v>40840.0</v>
      </c>
    </row>
    <row r="18" ht="14.25" customHeight="1">
      <c r="O18" s="51" t="s">
        <v>4</v>
      </c>
      <c r="P18" s="52">
        <v>40841.0</v>
      </c>
    </row>
    <row r="19" ht="14.25" customHeight="1">
      <c r="O19" s="51" t="s">
        <v>43</v>
      </c>
      <c r="P19" s="52">
        <v>40842.0</v>
      </c>
    </row>
    <row r="20" ht="14.25" customHeight="1">
      <c r="O20" s="51" t="s">
        <v>44</v>
      </c>
      <c r="P20" s="52">
        <v>40843.0</v>
      </c>
    </row>
    <row r="21" ht="14.25" customHeight="1">
      <c r="O21" s="51" t="s">
        <v>46</v>
      </c>
      <c r="P21" s="52">
        <v>40844.0</v>
      </c>
    </row>
    <row r="22" ht="14.25" customHeight="1">
      <c r="O22" s="51" t="s">
        <v>48</v>
      </c>
      <c r="P22" s="52">
        <v>40845.0</v>
      </c>
    </row>
    <row r="23" ht="14.25" customHeight="1">
      <c r="O23" s="51" t="s">
        <v>49</v>
      </c>
      <c r="P23" s="52">
        <v>40846.0</v>
      </c>
    </row>
    <row r="24" ht="14.25" customHeight="1">
      <c r="O24" s="51" t="s">
        <v>50</v>
      </c>
      <c r="P24" s="52">
        <v>40847.0</v>
      </c>
    </row>
    <row r="25" ht="14.25" customHeight="1">
      <c r="O25" s="51" t="s">
        <v>51</v>
      </c>
      <c r="P25" s="52">
        <v>40848.0</v>
      </c>
    </row>
    <row r="26" ht="14.25" customHeight="1">
      <c r="O26" s="51" t="s">
        <v>4</v>
      </c>
      <c r="P26" s="52">
        <v>40849.0</v>
      </c>
    </row>
    <row r="27" ht="14.25" customHeight="1">
      <c r="O27" s="51" t="s">
        <v>43</v>
      </c>
      <c r="P27" s="52">
        <v>40850.0</v>
      </c>
    </row>
    <row r="28" ht="14.25" customHeight="1">
      <c r="O28" s="51" t="s">
        <v>44</v>
      </c>
      <c r="P28" s="52">
        <v>40851.0</v>
      </c>
    </row>
    <row r="29" ht="14.25" customHeight="1">
      <c r="O29" s="51" t="s">
        <v>46</v>
      </c>
      <c r="P29" s="52">
        <v>40852.0</v>
      </c>
    </row>
    <row r="30" ht="14.25" customHeight="1">
      <c r="O30" s="51" t="s">
        <v>48</v>
      </c>
      <c r="P30" s="52">
        <v>40853.0</v>
      </c>
    </row>
    <row r="31" ht="14.25" customHeight="1">
      <c r="O31" s="51" t="s">
        <v>49</v>
      </c>
      <c r="P31" s="52">
        <v>40854.0</v>
      </c>
    </row>
    <row r="32" ht="14.25" customHeight="1">
      <c r="O32" s="51" t="s">
        <v>50</v>
      </c>
      <c r="P32" s="52">
        <v>40855.0</v>
      </c>
    </row>
    <row r="33" ht="14.25" customHeight="1">
      <c r="O33" s="51" t="s">
        <v>51</v>
      </c>
      <c r="P33" s="52">
        <v>40856.0</v>
      </c>
    </row>
    <row r="34" ht="14.25" customHeight="1">
      <c r="O34" s="51" t="s">
        <v>4</v>
      </c>
      <c r="P34" s="52">
        <v>40857.0</v>
      </c>
    </row>
    <row r="35" ht="14.25" customHeight="1">
      <c r="O35" s="51" t="s">
        <v>43</v>
      </c>
      <c r="P35" s="52">
        <v>40858.0</v>
      </c>
    </row>
    <row r="36" ht="14.25" customHeight="1">
      <c r="O36" s="51" t="s">
        <v>44</v>
      </c>
      <c r="P36" s="52">
        <v>40859.0</v>
      </c>
    </row>
    <row r="37" ht="14.25" customHeight="1">
      <c r="O37" s="51" t="s">
        <v>46</v>
      </c>
      <c r="P37" s="52">
        <v>40860.0</v>
      </c>
    </row>
    <row r="38" ht="14.25" customHeight="1">
      <c r="O38" s="51" t="s">
        <v>48</v>
      </c>
      <c r="P38" s="52">
        <v>40861.0</v>
      </c>
    </row>
    <row r="39" ht="14.25" customHeight="1">
      <c r="O39" s="51" t="s">
        <v>49</v>
      </c>
      <c r="P39" s="52">
        <v>40862.0</v>
      </c>
    </row>
    <row r="40" ht="14.25" customHeight="1">
      <c r="O40" s="51" t="s">
        <v>50</v>
      </c>
      <c r="P40" s="52">
        <v>40863.0</v>
      </c>
    </row>
    <row r="41" ht="14.25" customHeight="1">
      <c r="O41" s="51" t="s">
        <v>51</v>
      </c>
      <c r="P41" s="52">
        <v>40864.0</v>
      </c>
    </row>
    <row r="42" ht="14.25" customHeight="1">
      <c r="O42" s="51" t="s">
        <v>4</v>
      </c>
      <c r="P42" s="52">
        <v>40865.0</v>
      </c>
    </row>
    <row r="43" ht="14.25" customHeight="1">
      <c r="O43" s="51" t="s">
        <v>43</v>
      </c>
      <c r="P43" s="52">
        <v>40866.0</v>
      </c>
    </row>
    <row r="44" ht="14.25" customHeight="1">
      <c r="O44" s="51" t="s">
        <v>44</v>
      </c>
      <c r="P44" s="52">
        <v>40867.0</v>
      </c>
    </row>
    <row r="45" ht="14.25" customHeight="1">
      <c r="O45" s="51" t="s">
        <v>46</v>
      </c>
      <c r="P45" s="52">
        <v>40868.0</v>
      </c>
    </row>
    <row r="46" ht="14.25" customHeight="1">
      <c r="O46" s="51" t="s">
        <v>48</v>
      </c>
      <c r="P46" s="52">
        <v>40869.0</v>
      </c>
    </row>
    <row r="47" ht="14.25" customHeight="1">
      <c r="O47" s="51" t="s">
        <v>49</v>
      </c>
      <c r="P47" s="52">
        <v>40870.0</v>
      </c>
    </row>
    <row r="48" ht="14.25" customHeight="1">
      <c r="O48" s="51" t="s">
        <v>50</v>
      </c>
      <c r="P48" s="52">
        <v>40871.0</v>
      </c>
    </row>
    <row r="49" ht="14.25" customHeight="1">
      <c r="O49" s="51" t="s">
        <v>51</v>
      </c>
      <c r="P49" s="52">
        <v>40872.0</v>
      </c>
    </row>
    <row r="50" ht="14.25" customHeight="1">
      <c r="O50" s="51" t="s">
        <v>4</v>
      </c>
      <c r="P50" s="52">
        <v>40873.0</v>
      </c>
    </row>
    <row r="51" ht="14.25" customHeight="1">
      <c r="O51" s="51" t="s">
        <v>43</v>
      </c>
      <c r="P51" s="52">
        <v>40874.0</v>
      </c>
    </row>
    <row r="52" ht="14.25" customHeight="1">
      <c r="O52" s="51" t="s">
        <v>44</v>
      </c>
      <c r="P52" s="52">
        <v>40875.0</v>
      </c>
    </row>
    <row r="53" ht="14.25" customHeight="1">
      <c r="O53" s="51" t="s">
        <v>46</v>
      </c>
      <c r="P53" s="52">
        <v>40876.0</v>
      </c>
    </row>
    <row r="54" ht="14.25" customHeight="1">
      <c r="O54" s="51" t="s">
        <v>48</v>
      </c>
      <c r="P54" s="52">
        <v>40877.0</v>
      </c>
    </row>
    <row r="55" ht="14.25" customHeight="1">
      <c r="O55" s="51" t="s">
        <v>49</v>
      </c>
      <c r="P55" s="52">
        <v>40878.0</v>
      </c>
    </row>
    <row r="56" ht="14.25" customHeight="1">
      <c r="O56" s="51" t="s">
        <v>50</v>
      </c>
      <c r="P56" s="52">
        <v>40879.0</v>
      </c>
    </row>
    <row r="57" ht="14.25" customHeight="1">
      <c r="O57" s="51" t="s">
        <v>51</v>
      </c>
      <c r="P57" s="52">
        <v>40880.0</v>
      </c>
    </row>
    <row r="58" ht="14.25" customHeight="1">
      <c r="O58" s="51" t="s">
        <v>4</v>
      </c>
      <c r="P58" s="52">
        <v>40881.0</v>
      </c>
    </row>
    <row r="59" ht="14.25" customHeight="1">
      <c r="O59" s="51" t="s">
        <v>43</v>
      </c>
      <c r="P59" s="52">
        <v>40882.0</v>
      </c>
    </row>
    <row r="60" ht="14.25" customHeight="1">
      <c r="O60" s="51" t="s">
        <v>44</v>
      </c>
      <c r="P60" s="52">
        <v>40883.0</v>
      </c>
    </row>
    <row r="61" ht="14.25" customHeight="1">
      <c r="O61" s="51" t="s">
        <v>46</v>
      </c>
      <c r="P61" s="52">
        <v>40884.0</v>
      </c>
    </row>
    <row r="62" ht="14.25" customHeight="1">
      <c r="O62" s="51" t="s">
        <v>48</v>
      </c>
      <c r="P62" s="52">
        <v>40885.0</v>
      </c>
    </row>
    <row r="63" ht="14.25" customHeight="1">
      <c r="O63" s="51" t="s">
        <v>49</v>
      </c>
      <c r="P63" s="52">
        <v>40886.0</v>
      </c>
    </row>
    <row r="64" ht="14.25" customHeight="1">
      <c r="O64" s="51" t="s">
        <v>50</v>
      </c>
      <c r="P64" s="52">
        <v>40887.0</v>
      </c>
    </row>
    <row r="65" ht="14.25" customHeight="1">
      <c r="O65" s="51" t="s">
        <v>51</v>
      </c>
      <c r="P65" s="52">
        <v>40888.0</v>
      </c>
    </row>
    <row r="66" ht="14.25" customHeight="1">
      <c r="O66" s="51" t="s">
        <v>4</v>
      </c>
      <c r="P66" s="52">
        <v>40889.0</v>
      </c>
    </row>
    <row r="67" ht="14.25" customHeight="1">
      <c r="O67" s="51" t="s">
        <v>43</v>
      </c>
      <c r="P67" s="52">
        <v>40890.0</v>
      </c>
    </row>
    <row r="68" ht="14.25" customHeight="1">
      <c r="O68" s="51" t="s">
        <v>44</v>
      </c>
      <c r="P68" s="52">
        <v>40891.0</v>
      </c>
    </row>
    <row r="69" ht="14.25" customHeight="1">
      <c r="O69" s="51" t="s">
        <v>46</v>
      </c>
      <c r="P69" s="52">
        <v>40892.0</v>
      </c>
    </row>
    <row r="70" ht="14.25" customHeight="1">
      <c r="O70" s="51" t="s">
        <v>48</v>
      </c>
      <c r="P70" s="52">
        <v>40893.0</v>
      </c>
    </row>
    <row r="71" ht="14.25" customHeight="1">
      <c r="O71" s="51" t="s">
        <v>49</v>
      </c>
      <c r="P71" s="52">
        <v>40894.0</v>
      </c>
    </row>
    <row r="72" ht="14.25" customHeight="1">
      <c r="O72" s="51" t="s">
        <v>50</v>
      </c>
      <c r="P72" s="52">
        <v>40895.0</v>
      </c>
    </row>
    <row r="73" ht="14.25" customHeight="1">
      <c r="O73" s="51" t="s">
        <v>51</v>
      </c>
      <c r="P73" s="52">
        <v>40896.0</v>
      </c>
    </row>
    <row r="74" ht="14.25" customHeight="1">
      <c r="O74" s="51" t="s">
        <v>4</v>
      </c>
      <c r="P74" s="52">
        <v>40897.0</v>
      </c>
    </row>
    <row r="75" ht="14.25" customHeight="1">
      <c r="O75" s="51" t="s">
        <v>43</v>
      </c>
      <c r="P75" s="52">
        <v>40898.0</v>
      </c>
    </row>
    <row r="76" ht="14.25" customHeight="1">
      <c r="O76" s="51" t="s">
        <v>44</v>
      </c>
      <c r="P76" s="52">
        <v>40899.0</v>
      </c>
    </row>
    <row r="77" ht="14.25" customHeight="1">
      <c r="O77" s="51" t="s">
        <v>46</v>
      </c>
      <c r="P77" s="52">
        <v>40900.0</v>
      </c>
    </row>
    <row r="78" ht="14.25" customHeight="1">
      <c r="O78" s="51" t="s">
        <v>48</v>
      </c>
      <c r="P78" s="52">
        <v>40901.0</v>
      </c>
    </row>
    <row r="79" ht="14.25" customHeight="1">
      <c r="O79" s="51" t="s">
        <v>49</v>
      </c>
      <c r="P79" s="52">
        <v>40902.0</v>
      </c>
    </row>
    <row r="80" ht="14.25" customHeight="1">
      <c r="O80" s="51" t="s">
        <v>50</v>
      </c>
      <c r="P80" s="52">
        <v>40903.0</v>
      </c>
    </row>
    <row r="81" ht="14.25" customHeight="1">
      <c r="O81" s="51" t="s">
        <v>51</v>
      </c>
      <c r="P81" s="52">
        <v>40904.0</v>
      </c>
    </row>
    <row r="82" ht="14.25" customHeight="1">
      <c r="O82" s="51" t="s">
        <v>4</v>
      </c>
      <c r="P82" s="52">
        <v>40905.0</v>
      </c>
    </row>
    <row r="83" ht="14.25" customHeight="1">
      <c r="O83" s="51" t="s">
        <v>43</v>
      </c>
      <c r="P83" s="52">
        <v>40906.0</v>
      </c>
    </row>
    <row r="84" ht="14.25" customHeight="1">
      <c r="O84" s="51" t="s">
        <v>44</v>
      </c>
      <c r="P84" s="52">
        <v>40907.0</v>
      </c>
    </row>
    <row r="85" ht="14.25" customHeight="1">
      <c r="O85" s="51" t="s">
        <v>46</v>
      </c>
      <c r="P85" s="52">
        <v>40908.0</v>
      </c>
    </row>
    <row r="86" ht="14.25" customHeight="1">
      <c r="O86" s="51" t="s">
        <v>48</v>
      </c>
      <c r="P86" s="52">
        <v>40909.0</v>
      </c>
    </row>
    <row r="87" ht="14.25" customHeight="1">
      <c r="O87" s="51" t="s">
        <v>49</v>
      </c>
      <c r="P87" s="52">
        <v>40910.0</v>
      </c>
    </row>
    <row r="88" ht="14.25" customHeight="1">
      <c r="O88" s="51" t="s">
        <v>50</v>
      </c>
      <c r="P88" s="52">
        <v>40911.0</v>
      </c>
    </row>
    <row r="89" ht="14.25" customHeight="1">
      <c r="O89" s="51" t="s">
        <v>51</v>
      </c>
      <c r="P89" s="52">
        <v>40912.0</v>
      </c>
    </row>
    <row r="90" ht="14.25" customHeight="1">
      <c r="O90" s="51" t="s">
        <v>4</v>
      </c>
      <c r="P90" s="52">
        <v>40913.0</v>
      </c>
    </row>
    <row r="91" ht="14.25" customHeight="1">
      <c r="O91" s="51" t="s">
        <v>43</v>
      </c>
      <c r="P91" s="52">
        <v>40914.0</v>
      </c>
    </row>
    <row r="92" ht="14.25" customHeight="1">
      <c r="O92" s="51" t="s">
        <v>44</v>
      </c>
      <c r="P92" s="52">
        <v>40915.0</v>
      </c>
    </row>
    <row r="93" ht="14.25" customHeight="1">
      <c r="O93" s="51" t="s">
        <v>46</v>
      </c>
      <c r="P93" s="52">
        <v>40916.0</v>
      </c>
    </row>
    <row r="94" ht="14.25" customHeight="1">
      <c r="O94" s="51" t="s">
        <v>48</v>
      </c>
      <c r="P94" s="52">
        <v>40917.0</v>
      </c>
    </row>
    <row r="95" ht="14.25" customHeight="1">
      <c r="O95" s="51" t="s">
        <v>49</v>
      </c>
      <c r="P95" s="52">
        <v>40918.0</v>
      </c>
    </row>
    <row r="96" ht="14.25" customHeight="1">
      <c r="O96" s="51" t="s">
        <v>50</v>
      </c>
      <c r="P96" s="52">
        <v>40919.0</v>
      </c>
    </row>
    <row r="97" ht="14.25" customHeight="1">
      <c r="O97" s="51" t="s">
        <v>51</v>
      </c>
      <c r="P97" s="52">
        <v>40920.0</v>
      </c>
    </row>
    <row r="98" ht="14.25" customHeight="1">
      <c r="O98" s="51" t="s">
        <v>4</v>
      </c>
      <c r="P98" s="52">
        <v>40921.0</v>
      </c>
    </row>
    <row r="99" ht="14.25" customHeight="1">
      <c r="O99" s="51" t="s">
        <v>43</v>
      </c>
      <c r="P99" s="52">
        <v>40922.0</v>
      </c>
    </row>
    <row r="100" ht="14.25" customHeight="1">
      <c r="O100" s="51" t="s">
        <v>44</v>
      </c>
      <c r="P100" s="52">
        <v>40923.0</v>
      </c>
    </row>
    <row r="101" ht="14.25" customHeight="1">
      <c r="O101" s="51" t="s">
        <v>46</v>
      </c>
      <c r="P101" s="52">
        <v>40924.0</v>
      </c>
    </row>
    <row r="102" ht="14.25" customHeight="1">
      <c r="O102" s="51" t="s">
        <v>48</v>
      </c>
      <c r="P102" s="52">
        <v>40925.0</v>
      </c>
    </row>
    <row r="103" ht="14.25" customHeight="1">
      <c r="O103" s="51" t="s">
        <v>49</v>
      </c>
      <c r="P103" s="52">
        <v>40926.0</v>
      </c>
    </row>
    <row r="104" ht="14.25" customHeight="1">
      <c r="O104" s="51" t="s">
        <v>50</v>
      </c>
      <c r="P104" s="52">
        <v>40927.0</v>
      </c>
    </row>
    <row r="105" ht="14.25" customHeight="1">
      <c r="O105" s="51" t="s">
        <v>51</v>
      </c>
      <c r="P105" s="52">
        <v>40928.0</v>
      </c>
    </row>
    <row r="106" ht="14.25" customHeight="1">
      <c r="O106" s="51" t="s">
        <v>4</v>
      </c>
      <c r="P106" s="52">
        <v>40929.0</v>
      </c>
    </row>
    <row r="107" ht="14.25" customHeight="1">
      <c r="O107" s="51" t="s">
        <v>43</v>
      </c>
      <c r="P107" s="52">
        <v>40930.0</v>
      </c>
    </row>
    <row r="108" ht="14.25" customHeight="1">
      <c r="O108" s="51" t="s">
        <v>44</v>
      </c>
      <c r="P108" s="52">
        <v>40931.0</v>
      </c>
    </row>
    <row r="109" ht="14.25" customHeight="1">
      <c r="O109" s="51" t="s">
        <v>46</v>
      </c>
      <c r="P109" s="52">
        <v>40932.0</v>
      </c>
    </row>
    <row r="110" ht="14.25" customHeight="1">
      <c r="O110" s="51" t="s">
        <v>48</v>
      </c>
      <c r="P110" s="52">
        <v>40933.0</v>
      </c>
    </row>
    <row r="111" ht="14.25" customHeight="1">
      <c r="O111" s="51" t="s">
        <v>49</v>
      </c>
      <c r="P111" s="52">
        <v>40934.0</v>
      </c>
    </row>
    <row r="112" ht="14.25" customHeight="1">
      <c r="O112" s="51" t="s">
        <v>50</v>
      </c>
      <c r="P112" s="52">
        <v>40935.0</v>
      </c>
    </row>
    <row r="113" ht="14.25" customHeight="1">
      <c r="O113" s="51" t="s">
        <v>51</v>
      </c>
      <c r="P113" s="52">
        <v>40936.0</v>
      </c>
    </row>
    <row r="114" ht="14.25" customHeight="1">
      <c r="O114" s="51" t="s">
        <v>4</v>
      </c>
      <c r="P114" s="52">
        <v>40937.0</v>
      </c>
    </row>
    <row r="115" ht="14.25" customHeight="1">
      <c r="O115" s="51" t="s">
        <v>43</v>
      </c>
      <c r="P115" s="52">
        <v>40938.0</v>
      </c>
    </row>
    <row r="116" ht="14.25" customHeight="1">
      <c r="O116" s="51" t="s">
        <v>44</v>
      </c>
      <c r="P116" s="52">
        <v>40939.0</v>
      </c>
    </row>
    <row r="117" ht="14.25" customHeight="1">
      <c r="O117" s="51" t="s">
        <v>46</v>
      </c>
      <c r="P117" s="52">
        <v>40940.0</v>
      </c>
    </row>
    <row r="118" ht="14.25" customHeight="1">
      <c r="O118" s="51" t="s">
        <v>48</v>
      </c>
      <c r="P118" s="52">
        <v>40941.0</v>
      </c>
    </row>
    <row r="119" ht="14.25" customHeight="1">
      <c r="O119" s="51" t="s">
        <v>49</v>
      </c>
      <c r="P119" s="52">
        <v>40942.0</v>
      </c>
    </row>
    <row r="120" ht="14.25" customHeight="1">
      <c r="O120" s="51" t="s">
        <v>50</v>
      </c>
      <c r="P120" s="52">
        <v>40943.0</v>
      </c>
    </row>
    <row r="121" ht="14.25" customHeight="1">
      <c r="O121" s="51" t="s">
        <v>51</v>
      </c>
      <c r="P121" s="52">
        <v>40944.0</v>
      </c>
    </row>
    <row r="122" ht="14.25" customHeight="1">
      <c r="O122" s="51" t="s">
        <v>4</v>
      </c>
      <c r="P122" s="52">
        <v>40945.0</v>
      </c>
    </row>
    <row r="123" ht="14.25" customHeight="1">
      <c r="O123" s="51" t="s">
        <v>43</v>
      </c>
      <c r="P123" s="52">
        <v>40946.0</v>
      </c>
    </row>
    <row r="124" ht="14.25" customHeight="1">
      <c r="O124" s="51" t="s">
        <v>44</v>
      </c>
      <c r="P124" s="52">
        <v>40947.0</v>
      </c>
    </row>
    <row r="125" ht="14.25" customHeight="1">
      <c r="O125" s="51" t="s">
        <v>46</v>
      </c>
      <c r="P125" s="52">
        <v>40948.0</v>
      </c>
    </row>
    <row r="126" ht="14.25" customHeight="1">
      <c r="O126" s="51" t="s">
        <v>48</v>
      </c>
      <c r="P126" s="52">
        <v>40949.0</v>
      </c>
    </row>
    <row r="127" ht="14.25" customHeight="1">
      <c r="O127" s="51" t="s">
        <v>49</v>
      </c>
      <c r="P127" s="52">
        <v>40950.0</v>
      </c>
    </row>
    <row r="128" ht="14.25" customHeight="1">
      <c r="O128" s="51" t="s">
        <v>50</v>
      </c>
      <c r="P128" s="52">
        <v>40951.0</v>
      </c>
    </row>
    <row r="129" ht="14.25" customHeight="1">
      <c r="O129" s="51" t="s">
        <v>51</v>
      </c>
      <c r="P129" s="52">
        <v>40952.0</v>
      </c>
    </row>
    <row r="130" ht="14.25" customHeight="1">
      <c r="O130" s="51" t="s">
        <v>4</v>
      </c>
      <c r="P130" s="52">
        <v>40953.0</v>
      </c>
    </row>
    <row r="131" ht="14.25" customHeight="1">
      <c r="O131" s="51" t="s">
        <v>43</v>
      </c>
      <c r="P131" s="52">
        <v>40954.0</v>
      </c>
    </row>
    <row r="132" ht="14.25" customHeight="1">
      <c r="O132" s="51" t="s">
        <v>44</v>
      </c>
      <c r="P132" s="52">
        <v>40955.0</v>
      </c>
    </row>
    <row r="133" ht="14.25" customHeight="1">
      <c r="O133" s="51" t="s">
        <v>46</v>
      </c>
      <c r="P133" s="52">
        <v>40956.0</v>
      </c>
    </row>
    <row r="134" ht="14.25" customHeight="1">
      <c r="O134" s="51" t="s">
        <v>48</v>
      </c>
      <c r="P134" s="52">
        <v>40957.0</v>
      </c>
    </row>
    <row r="135" ht="14.25" customHeight="1">
      <c r="O135" s="51" t="s">
        <v>49</v>
      </c>
      <c r="P135" s="52">
        <v>40958.0</v>
      </c>
    </row>
    <row r="136" ht="14.25" customHeight="1">
      <c r="O136" s="51" t="s">
        <v>50</v>
      </c>
      <c r="P136" s="52">
        <v>40959.0</v>
      </c>
    </row>
    <row r="137" ht="14.25" customHeight="1">
      <c r="O137" s="51" t="s">
        <v>51</v>
      </c>
      <c r="P137" s="52">
        <v>40960.0</v>
      </c>
    </row>
    <row r="138" ht="14.25" customHeight="1">
      <c r="O138" s="51" t="s">
        <v>4</v>
      </c>
      <c r="P138" s="52">
        <v>40961.0</v>
      </c>
    </row>
    <row r="139" ht="14.25" customHeight="1">
      <c r="O139" s="51" t="s">
        <v>43</v>
      </c>
      <c r="P139" s="52">
        <v>40962.0</v>
      </c>
    </row>
    <row r="140" ht="14.25" customHeight="1">
      <c r="O140" s="51" t="s">
        <v>44</v>
      </c>
      <c r="P140" s="52">
        <v>40963.0</v>
      </c>
    </row>
    <row r="141" ht="14.25" customHeight="1">
      <c r="O141" s="51" t="s">
        <v>46</v>
      </c>
      <c r="P141" s="52">
        <v>40964.0</v>
      </c>
    </row>
    <row r="142" ht="14.25" customHeight="1">
      <c r="O142" s="51" t="s">
        <v>48</v>
      </c>
      <c r="P142" s="52">
        <v>40965.0</v>
      </c>
    </row>
    <row r="143" ht="14.25" customHeight="1">
      <c r="O143" s="51" t="s">
        <v>49</v>
      </c>
      <c r="P143" s="52">
        <v>40966.0</v>
      </c>
    </row>
    <row r="144" ht="14.25" customHeight="1">
      <c r="O144" s="51" t="s">
        <v>50</v>
      </c>
      <c r="P144" s="52">
        <v>40967.0</v>
      </c>
    </row>
    <row r="145" ht="14.25" customHeight="1">
      <c r="O145" s="51" t="s">
        <v>51</v>
      </c>
      <c r="P145" s="52">
        <v>40968.0</v>
      </c>
    </row>
    <row r="146" ht="14.25" customHeight="1">
      <c r="O146" s="51" t="s">
        <v>4</v>
      </c>
      <c r="P146" s="52">
        <v>40969.0</v>
      </c>
    </row>
    <row r="147" ht="14.25" customHeight="1">
      <c r="O147" s="51" t="s">
        <v>43</v>
      </c>
      <c r="P147" s="52">
        <v>40970.0</v>
      </c>
    </row>
    <row r="148" ht="14.25" customHeight="1">
      <c r="O148" s="51" t="s">
        <v>44</v>
      </c>
      <c r="P148" s="52">
        <v>40971.0</v>
      </c>
    </row>
    <row r="149" ht="14.25" customHeight="1">
      <c r="O149" s="51" t="s">
        <v>46</v>
      </c>
      <c r="P149" s="52">
        <v>40972.0</v>
      </c>
    </row>
    <row r="150" ht="14.25" customHeight="1">
      <c r="O150" s="51" t="s">
        <v>48</v>
      </c>
      <c r="P150" s="52">
        <v>40973.0</v>
      </c>
    </row>
    <row r="151" ht="14.25" customHeight="1">
      <c r="O151" s="51" t="s">
        <v>49</v>
      </c>
      <c r="P151" s="52">
        <v>40974.0</v>
      </c>
    </row>
    <row r="152" ht="14.25" customHeight="1">
      <c r="O152" s="51" t="s">
        <v>50</v>
      </c>
      <c r="P152" s="52">
        <v>40975.0</v>
      </c>
    </row>
    <row r="153" ht="14.25" customHeight="1">
      <c r="O153" s="51" t="s">
        <v>51</v>
      </c>
      <c r="P153" s="52">
        <v>40976.0</v>
      </c>
    </row>
    <row r="154" ht="14.25" customHeight="1">
      <c r="O154" s="51" t="s">
        <v>4</v>
      </c>
      <c r="P154" s="52">
        <v>40977.0</v>
      </c>
    </row>
    <row r="155" ht="14.25" customHeight="1">
      <c r="O155" s="51" t="s">
        <v>43</v>
      </c>
      <c r="P155" s="52">
        <v>40978.0</v>
      </c>
    </row>
    <row r="156" ht="14.25" customHeight="1">
      <c r="O156" s="51" t="s">
        <v>44</v>
      </c>
      <c r="P156" s="52">
        <v>40979.0</v>
      </c>
    </row>
    <row r="157" ht="14.25" customHeight="1">
      <c r="O157" s="51" t="s">
        <v>46</v>
      </c>
      <c r="P157" s="52">
        <v>40980.0</v>
      </c>
    </row>
    <row r="158" ht="14.25" customHeight="1">
      <c r="O158" s="51" t="s">
        <v>48</v>
      </c>
      <c r="P158" s="52">
        <v>40981.0</v>
      </c>
    </row>
    <row r="159" ht="14.25" customHeight="1">
      <c r="O159" s="51" t="s">
        <v>49</v>
      </c>
      <c r="P159" s="52">
        <v>40982.0</v>
      </c>
    </row>
    <row r="160" ht="14.25" customHeight="1">
      <c r="O160" s="51" t="s">
        <v>50</v>
      </c>
      <c r="P160" s="52">
        <v>40983.0</v>
      </c>
    </row>
    <row r="161" ht="14.25" customHeight="1">
      <c r="O161" s="51" t="s">
        <v>51</v>
      </c>
      <c r="P161" s="52">
        <v>40984.0</v>
      </c>
    </row>
    <row r="162" ht="14.25" customHeight="1">
      <c r="O162" s="51" t="s">
        <v>4</v>
      </c>
      <c r="P162" s="52">
        <v>40985.0</v>
      </c>
    </row>
    <row r="163" ht="14.25" customHeight="1">
      <c r="O163" s="51" t="s">
        <v>43</v>
      </c>
      <c r="P163" s="52">
        <v>40986.0</v>
      </c>
    </row>
    <row r="164" ht="14.25" customHeight="1">
      <c r="O164" s="51" t="s">
        <v>44</v>
      </c>
      <c r="P164" s="52">
        <v>40987.0</v>
      </c>
    </row>
    <row r="165" ht="14.25" customHeight="1">
      <c r="O165" s="51" t="s">
        <v>46</v>
      </c>
      <c r="P165" s="52">
        <v>40988.0</v>
      </c>
    </row>
    <row r="166" ht="14.25" customHeight="1">
      <c r="O166" s="51" t="s">
        <v>48</v>
      </c>
      <c r="P166" s="52">
        <v>40989.0</v>
      </c>
    </row>
    <row r="167" ht="14.25" customHeight="1">
      <c r="O167" s="51" t="s">
        <v>49</v>
      </c>
      <c r="P167" s="52">
        <v>40990.0</v>
      </c>
    </row>
    <row r="168" ht="14.25" customHeight="1">
      <c r="O168" s="51" t="s">
        <v>50</v>
      </c>
      <c r="P168" s="52">
        <v>40991.0</v>
      </c>
    </row>
    <row r="169" ht="14.25" customHeight="1">
      <c r="O169" s="51" t="s">
        <v>51</v>
      </c>
      <c r="P169" s="52">
        <v>40992.0</v>
      </c>
    </row>
    <row r="170" ht="14.25" customHeight="1">
      <c r="O170" s="51" t="s">
        <v>4</v>
      </c>
      <c r="P170" s="52">
        <v>40993.0</v>
      </c>
    </row>
    <row r="171" ht="14.25" customHeight="1">
      <c r="O171" s="51" t="s">
        <v>43</v>
      </c>
      <c r="P171" s="52">
        <v>40994.0</v>
      </c>
    </row>
    <row r="172" ht="14.25" customHeight="1">
      <c r="O172" s="51" t="s">
        <v>44</v>
      </c>
      <c r="P172" s="52">
        <v>40995.0</v>
      </c>
    </row>
    <row r="173" ht="14.25" customHeight="1">
      <c r="O173" s="51" t="s">
        <v>46</v>
      </c>
      <c r="P173" s="52">
        <v>40996.0</v>
      </c>
    </row>
    <row r="174" ht="14.25" customHeight="1">
      <c r="O174" s="51" t="s">
        <v>48</v>
      </c>
      <c r="P174" s="52">
        <v>40997.0</v>
      </c>
    </row>
    <row r="175" ht="14.25" customHeight="1">
      <c r="O175" s="51" t="s">
        <v>49</v>
      </c>
      <c r="P175" s="52">
        <v>40998.0</v>
      </c>
    </row>
    <row r="176" ht="14.25" customHeight="1">
      <c r="O176" s="51" t="s">
        <v>50</v>
      </c>
      <c r="P176" s="52">
        <v>40999.0</v>
      </c>
    </row>
    <row r="177" ht="14.25" customHeight="1">
      <c r="O177" s="51" t="s">
        <v>51</v>
      </c>
      <c r="P177" s="52">
        <v>41000.0</v>
      </c>
    </row>
    <row r="178" ht="14.25" customHeight="1">
      <c r="O178" s="51" t="s">
        <v>4</v>
      </c>
      <c r="P178" s="52">
        <v>41001.0</v>
      </c>
    </row>
    <row r="179" ht="14.25" customHeight="1">
      <c r="O179" s="51" t="s">
        <v>43</v>
      </c>
      <c r="P179" s="52">
        <v>41002.0</v>
      </c>
    </row>
    <row r="180" ht="14.25" customHeight="1">
      <c r="O180" s="51" t="s">
        <v>44</v>
      </c>
      <c r="P180" s="52">
        <v>41003.0</v>
      </c>
    </row>
    <row r="181" ht="14.25" customHeight="1">
      <c r="O181" s="51" t="s">
        <v>46</v>
      </c>
      <c r="P181" s="52">
        <v>41004.0</v>
      </c>
    </row>
    <row r="182" ht="14.25" customHeight="1">
      <c r="O182" s="51" t="s">
        <v>48</v>
      </c>
      <c r="P182" s="52">
        <v>41005.0</v>
      </c>
    </row>
    <row r="183" ht="14.25" customHeight="1">
      <c r="O183" s="51" t="s">
        <v>49</v>
      </c>
      <c r="P183" s="52">
        <v>41006.0</v>
      </c>
    </row>
    <row r="184" ht="14.25" customHeight="1">
      <c r="O184" s="51" t="s">
        <v>50</v>
      </c>
      <c r="P184" s="52">
        <v>41007.0</v>
      </c>
    </row>
    <row r="185" ht="14.25" customHeight="1">
      <c r="O185" s="51" t="s">
        <v>51</v>
      </c>
      <c r="P185" s="52">
        <v>41008.0</v>
      </c>
    </row>
    <row r="186" ht="14.25" customHeight="1">
      <c r="O186" s="51" t="s">
        <v>4</v>
      </c>
      <c r="P186" s="52">
        <v>41009.0</v>
      </c>
    </row>
    <row r="187" ht="14.25" customHeight="1">
      <c r="O187" s="51" t="s">
        <v>43</v>
      </c>
      <c r="P187" s="52">
        <v>41010.0</v>
      </c>
    </row>
    <row r="188" ht="14.25" customHeight="1">
      <c r="O188" s="51" t="s">
        <v>44</v>
      </c>
      <c r="P188" s="52">
        <v>41011.0</v>
      </c>
    </row>
    <row r="189" ht="14.25" customHeight="1">
      <c r="O189" s="51" t="s">
        <v>46</v>
      </c>
      <c r="P189" s="52">
        <v>41012.0</v>
      </c>
    </row>
    <row r="190" ht="14.25" customHeight="1">
      <c r="O190" s="51" t="s">
        <v>48</v>
      </c>
      <c r="P190" s="52">
        <v>41013.0</v>
      </c>
    </row>
    <row r="191" ht="14.25" customHeight="1">
      <c r="O191" s="51" t="s">
        <v>49</v>
      </c>
      <c r="P191" s="52">
        <v>41014.0</v>
      </c>
    </row>
    <row r="192" ht="14.25" customHeight="1">
      <c r="O192" s="51" t="s">
        <v>50</v>
      </c>
      <c r="P192" s="52">
        <v>41015.0</v>
      </c>
    </row>
    <row r="193" ht="14.25" customHeight="1">
      <c r="O193" s="51" t="s">
        <v>51</v>
      </c>
      <c r="P193" s="52">
        <v>41016.0</v>
      </c>
    </row>
    <row r="194" ht="14.25" customHeight="1">
      <c r="O194" s="51" t="s">
        <v>4</v>
      </c>
      <c r="P194" s="52">
        <v>41017.0</v>
      </c>
    </row>
    <row r="195" ht="14.25" customHeight="1">
      <c r="O195" s="51" t="s">
        <v>43</v>
      </c>
      <c r="P195" s="52">
        <v>41018.0</v>
      </c>
    </row>
    <row r="196" ht="14.25" customHeight="1">
      <c r="O196" s="51" t="s">
        <v>44</v>
      </c>
      <c r="P196" s="52">
        <v>41019.0</v>
      </c>
    </row>
    <row r="197" ht="14.25" customHeight="1">
      <c r="O197" s="51" t="s">
        <v>46</v>
      </c>
      <c r="P197" s="52">
        <v>41020.0</v>
      </c>
    </row>
    <row r="198" ht="14.25" customHeight="1">
      <c r="O198" s="51" t="s">
        <v>48</v>
      </c>
      <c r="P198" s="52">
        <v>41021.0</v>
      </c>
    </row>
    <row r="199" ht="14.25" customHeight="1">
      <c r="O199" s="51" t="s">
        <v>49</v>
      </c>
      <c r="P199" s="52">
        <v>41022.0</v>
      </c>
    </row>
    <row r="200" ht="14.25" customHeight="1">
      <c r="O200" s="51" t="s">
        <v>50</v>
      </c>
      <c r="P200" s="52">
        <v>41023.0</v>
      </c>
    </row>
    <row r="201" ht="14.25" customHeight="1">
      <c r="O201" s="51" t="s">
        <v>51</v>
      </c>
      <c r="P201" s="52">
        <v>41024.0</v>
      </c>
    </row>
    <row r="202" ht="14.25" customHeight="1">
      <c r="O202" s="51" t="s">
        <v>4</v>
      </c>
      <c r="P202" s="52">
        <v>41025.0</v>
      </c>
    </row>
    <row r="203" ht="14.25" customHeight="1">
      <c r="O203" s="51" t="s">
        <v>43</v>
      </c>
      <c r="P203" s="52">
        <v>41026.0</v>
      </c>
    </row>
    <row r="204" ht="14.25" customHeight="1">
      <c r="O204" s="51" t="s">
        <v>44</v>
      </c>
      <c r="P204" s="52">
        <v>41027.0</v>
      </c>
    </row>
    <row r="205" ht="14.25" customHeight="1">
      <c r="O205" s="51" t="s">
        <v>46</v>
      </c>
      <c r="P205" s="52">
        <v>41028.0</v>
      </c>
    </row>
    <row r="206" ht="14.25" customHeight="1">
      <c r="O206" s="51" t="s">
        <v>48</v>
      </c>
      <c r="P206" s="52">
        <v>41029.0</v>
      </c>
    </row>
    <row r="207" ht="14.25" customHeight="1">
      <c r="O207" s="51" t="s">
        <v>49</v>
      </c>
      <c r="P207" s="52">
        <v>41030.0</v>
      </c>
    </row>
    <row r="208" ht="14.25" customHeight="1">
      <c r="O208" s="51" t="s">
        <v>50</v>
      </c>
      <c r="P208" s="52">
        <v>41031.0</v>
      </c>
    </row>
    <row r="209" ht="14.25" customHeight="1">
      <c r="O209" s="51" t="s">
        <v>51</v>
      </c>
      <c r="P209" s="52">
        <v>41032.0</v>
      </c>
    </row>
    <row r="210" ht="14.25" customHeight="1">
      <c r="O210" s="51" t="s">
        <v>4</v>
      </c>
      <c r="P210" s="52">
        <v>41033.0</v>
      </c>
    </row>
    <row r="211" ht="14.25" customHeight="1">
      <c r="O211" s="51" t="s">
        <v>43</v>
      </c>
      <c r="P211" s="52">
        <v>41034.0</v>
      </c>
    </row>
    <row r="212" ht="14.25" customHeight="1">
      <c r="O212" s="51" t="s">
        <v>44</v>
      </c>
      <c r="P212" s="52">
        <v>41035.0</v>
      </c>
    </row>
    <row r="213" ht="14.25" customHeight="1">
      <c r="O213" s="51" t="s">
        <v>46</v>
      </c>
      <c r="P213" s="52">
        <v>41036.0</v>
      </c>
    </row>
    <row r="214" ht="14.25" customHeight="1">
      <c r="O214" s="51" t="s">
        <v>48</v>
      </c>
      <c r="P214" s="52">
        <v>41037.0</v>
      </c>
    </row>
    <row r="215" ht="14.25" customHeight="1">
      <c r="O215" s="51" t="s">
        <v>49</v>
      </c>
      <c r="P215" s="52">
        <v>41038.0</v>
      </c>
    </row>
    <row r="216" ht="14.25" customHeight="1">
      <c r="O216" s="51" t="s">
        <v>50</v>
      </c>
      <c r="P216" s="52">
        <v>41039.0</v>
      </c>
    </row>
    <row r="217" ht="14.25" customHeight="1">
      <c r="O217" s="51" t="s">
        <v>51</v>
      </c>
      <c r="P217" s="52">
        <v>41040.0</v>
      </c>
    </row>
    <row r="218" ht="14.25" customHeight="1">
      <c r="O218" s="51" t="s">
        <v>4</v>
      </c>
      <c r="P218" s="52">
        <v>41041.0</v>
      </c>
    </row>
    <row r="219" ht="14.25" customHeight="1">
      <c r="O219" s="51" t="s">
        <v>43</v>
      </c>
      <c r="P219" s="52">
        <v>41042.0</v>
      </c>
    </row>
    <row r="220" ht="14.25" customHeight="1">
      <c r="O220" s="51" t="s">
        <v>44</v>
      </c>
      <c r="P220" s="52">
        <v>41043.0</v>
      </c>
    </row>
    <row r="221" ht="14.25" customHeight="1">
      <c r="O221" s="51" t="s">
        <v>46</v>
      </c>
      <c r="P221" s="52">
        <v>41044.0</v>
      </c>
    </row>
    <row r="222" ht="14.25" customHeight="1">
      <c r="O222" s="51" t="s">
        <v>48</v>
      </c>
      <c r="P222" s="52">
        <v>41045.0</v>
      </c>
    </row>
    <row r="223" ht="14.25" customHeight="1">
      <c r="O223" s="51" t="s">
        <v>49</v>
      </c>
      <c r="P223" s="52">
        <v>41046.0</v>
      </c>
    </row>
    <row r="224" ht="14.25" customHeight="1">
      <c r="O224" s="51" t="s">
        <v>50</v>
      </c>
      <c r="P224" s="52">
        <v>41047.0</v>
      </c>
    </row>
    <row r="225" ht="14.25" customHeight="1">
      <c r="O225" s="51" t="s">
        <v>51</v>
      </c>
      <c r="P225" s="52">
        <v>41048.0</v>
      </c>
    </row>
    <row r="226" ht="14.25" customHeight="1">
      <c r="O226" s="51" t="s">
        <v>4</v>
      </c>
      <c r="P226" s="52">
        <v>41049.0</v>
      </c>
    </row>
    <row r="227" ht="14.25" customHeight="1">
      <c r="O227" s="51" t="s">
        <v>43</v>
      </c>
      <c r="P227" s="52">
        <v>41050.0</v>
      </c>
    </row>
    <row r="228" ht="14.25" customHeight="1">
      <c r="O228" s="51" t="s">
        <v>44</v>
      </c>
      <c r="P228" s="52">
        <v>41051.0</v>
      </c>
    </row>
    <row r="229" ht="14.25" customHeight="1">
      <c r="O229" s="51" t="s">
        <v>46</v>
      </c>
      <c r="P229" s="52">
        <v>41052.0</v>
      </c>
    </row>
    <row r="230" ht="14.25" customHeight="1">
      <c r="O230" s="51" t="s">
        <v>48</v>
      </c>
      <c r="P230" s="52">
        <v>41053.0</v>
      </c>
    </row>
    <row r="231" ht="14.25" customHeight="1">
      <c r="O231" s="51" t="s">
        <v>49</v>
      </c>
      <c r="P231" s="52">
        <v>41054.0</v>
      </c>
    </row>
    <row r="232" ht="14.25" customHeight="1">
      <c r="O232" s="51" t="s">
        <v>50</v>
      </c>
      <c r="P232" s="52">
        <v>41055.0</v>
      </c>
    </row>
    <row r="233" ht="14.25" customHeight="1">
      <c r="O233" s="51" t="s">
        <v>51</v>
      </c>
      <c r="P233" s="52">
        <v>41056.0</v>
      </c>
    </row>
    <row r="234" ht="14.25" customHeight="1">
      <c r="O234" s="51" t="s">
        <v>4</v>
      </c>
      <c r="P234" s="52">
        <v>41057.0</v>
      </c>
    </row>
    <row r="235" ht="14.25" customHeight="1">
      <c r="O235" s="51" t="s">
        <v>43</v>
      </c>
      <c r="P235" s="52">
        <v>41058.0</v>
      </c>
    </row>
    <row r="236" ht="14.25" customHeight="1">
      <c r="O236" s="51" t="s">
        <v>44</v>
      </c>
      <c r="P236" s="52">
        <v>41059.0</v>
      </c>
    </row>
    <row r="237" ht="14.25" customHeight="1">
      <c r="O237" s="51" t="s">
        <v>46</v>
      </c>
      <c r="P237" s="52">
        <v>41060.0</v>
      </c>
    </row>
    <row r="238" ht="14.25" customHeight="1">
      <c r="O238" s="51" t="s">
        <v>48</v>
      </c>
      <c r="P238" s="52">
        <v>41061.0</v>
      </c>
    </row>
    <row r="239" ht="14.25" customHeight="1">
      <c r="O239" s="51" t="s">
        <v>49</v>
      </c>
      <c r="P239" s="52">
        <v>41062.0</v>
      </c>
    </row>
    <row r="240" ht="14.25" customHeight="1">
      <c r="O240" s="51" t="s">
        <v>50</v>
      </c>
      <c r="P240" s="52">
        <v>41063.0</v>
      </c>
    </row>
    <row r="241" ht="14.25" customHeight="1">
      <c r="O241" s="51" t="s">
        <v>51</v>
      </c>
      <c r="P241" s="52">
        <v>41064.0</v>
      </c>
    </row>
    <row r="242" ht="14.25" customHeight="1">
      <c r="O242" s="51" t="s">
        <v>4</v>
      </c>
      <c r="P242" s="52">
        <v>41065.0</v>
      </c>
    </row>
    <row r="243" ht="14.25" customHeight="1">
      <c r="O243" s="51" t="s">
        <v>43</v>
      </c>
      <c r="P243" s="52">
        <v>41066.0</v>
      </c>
    </row>
    <row r="244" ht="14.25" customHeight="1">
      <c r="O244" s="51" t="s">
        <v>44</v>
      </c>
      <c r="P244" s="52">
        <v>41067.0</v>
      </c>
    </row>
    <row r="245" ht="14.25" customHeight="1">
      <c r="O245" s="51" t="s">
        <v>46</v>
      </c>
      <c r="P245" s="52">
        <v>41068.0</v>
      </c>
    </row>
    <row r="246" ht="14.25" customHeight="1">
      <c r="O246" s="51" t="s">
        <v>48</v>
      </c>
      <c r="P246" s="52">
        <v>41069.0</v>
      </c>
    </row>
    <row r="247" ht="14.25" customHeight="1">
      <c r="O247" s="51" t="s">
        <v>49</v>
      </c>
      <c r="P247" s="52">
        <v>41070.0</v>
      </c>
    </row>
    <row r="248" ht="14.25" customHeight="1">
      <c r="O248" s="51" t="s">
        <v>50</v>
      </c>
      <c r="P248" s="52">
        <v>41071.0</v>
      </c>
    </row>
    <row r="249" ht="14.25" customHeight="1">
      <c r="O249" s="51" t="s">
        <v>51</v>
      </c>
      <c r="P249" s="52">
        <v>41072.0</v>
      </c>
    </row>
    <row r="250" ht="14.25" customHeight="1">
      <c r="O250" s="51" t="s">
        <v>4</v>
      </c>
      <c r="P250" s="52">
        <v>41073.0</v>
      </c>
    </row>
    <row r="251" ht="14.25" customHeight="1">
      <c r="O251" s="51" t="s">
        <v>43</v>
      </c>
      <c r="P251" s="52">
        <v>41074.0</v>
      </c>
    </row>
    <row r="252" ht="14.25" customHeight="1">
      <c r="O252" s="51" t="s">
        <v>44</v>
      </c>
      <c r="P252" s="52">
        <v>41075.0</v>
      </c>
    </row>
    <row r="253" ht="14.25" customHeight="1">
      <c r="O253" s="51" t="s">
        <v>46</v>
      </c>
      <c r="P253" s="52">
        <v>41076.0</v>
      </c>
    </row>
    <row r="254" ht="14.25" customHeight="1">
      <c r="O254" s="51" t="s">
        <v>48</v>
      </c>
      <c r="P254" s="52">
        <v>41077.0</v>
      </c>
    </row>
    <row r="255" ht="14.25" customHeight="1">
      <c r="O255" s="51" t="s">
        <v>49</v>
      </c>
      <c r="P255" s="52">
        <v>41078.0</v>
      </c>
    </row>
    <row r="256" ht="14.25" customHeight="1">
      <c r="O256" s="51" t="s">
        <v>50</v>
      </c>
      <c r="P256" s="52">
        <v>41079.0</v>
      </c>
    </row>
    <row r="257" ht="14.25" customHeight="1">
      <c r="O257" s="51" t="s">
        <v>51</v>
      </c>
      <c r="P257" s="52">
        <v>41080.0</v>
      </c>
    </row>
    <row r="258" ht="14.25" customHeight="1">
      <c r="O258" s="51" t="s">
        <v>4</v>
      </c>
      <c r="P258" s="52">
        <v>41081.0</v>
      </c>
    </row>
    <row r="259" ht="14.25" customHeight="1">
      <c r="O259" s="51" t="s">
        <v>43</v>
      </c>
      <c r="P259" s="52">
        <v>41082.0</v>
      </c>
    </row>
    <row r="260" ht="14.25" customHeight="1">
      <c r="O260" s="51" t="s">
        <v>44</v>
      </c>
      <c r="P260" s="52">
        <v>41083.0</v>
      </c>
    </row>
    <row r="261" ht="14.25" customHeight="1">
      <c r="O261" s="51" t="s">
        <v>46</v>
      </c>
      <c r="P261" s="52">
        <v>41084.0</v>
      </c>
    </row>
    <row r="262" ht="14.25" customHeight="1">
      <c r="O262" s="51" t="s">
        <v>48</v>
      </c>
      <c r="P262" s="52">
        <v>41085.0</v>
      </c>
    </row>
    <row r="263" ht="14.25" customHeight="1">
      <c r="O263" s="51" t="s">
        <v>49</v>
      </c>
      <c r="P263" s="52">
        <v>41086.0</v>
      </c>
    </row>
    <row r="264" ht="14.25" customHeight="1">
      <c r="O264" s="51" t="s">
        <v>50</v>
      </c>
      <c r="P264" s="52">
        <v>41087.0</v>
      </c>
    </row>
    <row r="265" ht="14.25" customHeight="1">
      <c r="O265" s="51" t="s">
        <v>51</v>
      </c>
      <c r="P265" s="52">
        <v>41088.0</v>
      </c>
    </row>
    <row r="266" ht="14.25" customHeight="1">
      <c r="O266" s="51" t="s">
        <v>4</v>
      </c>
      <c r="P266" s="52">
        <v>41089.0</v>
      </c>
    </row>
    <row r="267" ht="14.25" customHeight="1">
      <c r="O267" s="51" t="s">
        <v>43</v>
      </c>
      <c r="P267" s="52">
        <v>41090.0</v>
      </c>
    </row>
    <row r="268" ht="14.25" customHeight="1">
      <c r="O268" s="51" t="s">
        <v>44</v>
      </c>
      <c r="P268" s="52">
        <v>41091.0</v>
      </c>
    </row>
    <row r="269" ht="14.25" customHeight="1">
      <c r="O269" s="51" t="s">
        <v>46</v>
      </c>
      <c r="P269" s="52">
        <v>41092.0</v>
      </c>
    </row>
    <row r="270" ht="14.25" customHeight="1">
      <c r="O270" s="51" t="s">
        <v>48</v>
      </c>
      <c r="P270" s="52">
        <v>41093.0</v>
      </c>
    </row>
    <row r="271" ht="14.25" customHeight="1">
      <c r="O271" s="51" t="s">
        <v>49</v>
      </c>
      <c r="P271" s="52">
        <v>41094.0</v>
      </c>
    </row>
    <row r="272" ht="14.25" customHeight="1">
      <c r="O272" s="51" t="s">
        <v>50</v>
      </c>
      <c r="P272" s="52">
        <v>41095.0</v>
      </c>
    </row>
    <row r="273" ht="14.25" customHeight="1">
      <c r="O273" s="51" t="s">
        <v>51</v>
      </c>
      <c r="P273" s="52">
        <v>41096.0</v>
      </c>
    </row>
    <row r="274" ht="14.25" customHeight="1">
      <c r="O274" s="51" t="s">
        <v>4</v>
      </c>
      <c r="P274" s="52">
        <v>41097.0</v>
      </c>
    </row>
    <row r="275" ht="14.25" customHeight="1">
      <c r="O275" s="51" t="s">
        <v>43</v>
      </c>
      <c r="P275" s="52">
        <v>41098.0</v>
      </c>
    </row>
    <row r="276" ht="14.25" customHeight="1">
      <c r="O276" s="51" t="s">
        <v>44</v>
      </c>
      <c r="P276" s="52">
        <v>41099.0</v>
      </c>
    </row>
    <row r="277" ht="14.25" customHeight="1">
      <c r="O277" s="51" t="s">
        <v>46</v>
      </c>
      <c r="P277" s="52">
        <v>41100.0</v>
      </c>
    </row>
    <row r="278" ht="14.25" customHeight="1">
      <c r="O278" s="51" t="s">
        <v>48</v>
      </c>
      <c r="P278" s="52">
        <v>41101.0</v>
      </c>
    </row>
    <row r="279" ht="14.25" customHeight="1">
      <c r="O279" s="51" t="s">
        <v>49</v>
      </c>
      <c r="P279" s="52">
        <v>41102.0</v>
      </c>
    </row>
    <row r="280" ht="14.25" customHeight="1">
      <c r="O280" s="51" t="s">
        <v>50</v>
      </c>
      <c r="P280" s="52">
        <v>41103.0</v>
      </c>
    </row>
    <row r="281" ht="14.25" customHeight="1">
      <c r="O281" s="51" t="s">
        <v>51</v>
      </c>
      <c r="P281" s="52">
        <v>41104.0</v>
      </c>
    </row>
    <row r="282" ht="14.25" customHeight="1">
      <c r="O282" s="51" t="s">
        <v>4</v>
      </c>
      <c r="P282" s="52">
        <v>41105.0</v>
      </c>
    </row>
    <row r="283" ht="14.25" customHeight="1">
      <c r="O283" s="51" t="s">
        <v>43</v>
      </c>
      <c r="P283" s="52">
        <v>41106.0</v>
      </c>
    </row>
    <row r="284" ht="14.25" customHeight="1">
      <c r="O284" s="51" t="s">
        <v>44</v>
      </c>
      <c r="P284" s="52">
        <v>41107.0</v>
      </c>
    </row>
    <row r="285" ht="14.25" customHeight="1">
      <c r="O285" s="51" t="s">
        <v>46</v>
      </c>
      <c r="P285" s="52">
        <v>41108.0</v>
      </c>
    </row>
    <row r="286" ht="14.25" customHeight="1">
      <c r="O286" s="51" t="s">
        <v>48</v>
      </c>
      <c r="P286" s="52">
        <v>41109.0</v>
      </c>
    </row>
    <row r="287" ht="14.25" customHeight="1">
      <c r="O287" s="51" t="s">
        <v>49</v>
      </c>
      <c r="P287" s="52">
        <v>41110.0</v>
      </c>
    </row>
    <row r="288" ht="14.25" customHeight="1">
      <c r="O288" s="51" t="s">
        <v>50</v>
      </c>
      <c r="P288" s="52">
        <v>41111.0</v>
      </c>
    </row>
    <row r="289" ht="14.25" customHeight="1">
      <c r="O289" s="51" t="s">
        <v>51</v>
      </c>
      <c r="P289" s="52">
        <v>41112.0</v>
      </c>
    </row>
    <row r="290" ht="14.25" customHeight="1">
      <c r="O290" s="51" t="s">
        <v>4</v>
      </c>
      <c r="P290" s="52">
        <v>41113.0</v>
      </c>
    </row>
    <row r="291" ht="14.25" customHeight="1">
      <c r="O291" s="51" t="s">
        <v>43</v>
      </c>
      <c r="P291" s="52">
        <v>41114.0</v>
      </c>
    </row>
    <row r="292" ht="14.25" customHeight="1">
      <c r="O292" s="51" t="s">
        <v>44</v>
      </c>
      <c r="P292" s="52">
        <v>41115.0</v>
      </c>
    </row>
    <row r="293" ht="14.25" customHeight="1">
      <c r="O293" s="51" t="s">
        <v>46</v>
      </c>
      <c r="P293" s="52">
        <v>41116.0</v>
      </c>
    </row>
    <row r="294" ht="14.25" customHeight="1">
      <c r="O294" s="51" t="s">
        <v>48</v>
      </c>
      <c r="P294" s="52">
        <v>41117.0</v>
      </c>
    </row>
    <row r="295" ht="14.25" customHeight="1">
      <c r="O295" s="51" t="s">
        <v>49</v>
      </c>
      <c r="P295" s="52">
        <v>41118.0</v>
      </c>
    </row>
    <row r="296" ht="14.25" customHeight="1">
      <c r="O296" s="51" t="s">
        <v>50</v>
      </c>
      <c r="P296" s="52">
        <v>41119.0</v>
      </c>
    </row>
    <row r="297" ht="14.25" customHeight="1">
      <c r="O297" s="51" t="s">
        <v>51</v>
      </c>
      <c r="P297" s="52">
        <v>41120.0</v>
      </c>
    </row>
    <row r="298" ht="14.25" customHeight="1">
      <c r="O298" s="51" t="s">
        <v>4</v>
      </c>
      <c r="P298" s="52">
        <v>41121.0</v>
      </c>
    </row>
    <row r="299" ht="14.25" customHeight="1">
      <c r="O299" s="51" t="s">
        <v>43</v>
      </c>
      <c r="P299" s="52">
        <v>41122.0</v>
      </c>
    </row>
    <row r="300" ht="14.25" customHeight="1">
      <c r="O300" s="51" t="s">
        <v>44</v>
      </c>
      <c r="P300" s="52">
        <v>41123.0</v>
      </c>
    </row>
    <row r="301" ht="14.25" customHeight="1">
      <c r="O301" s="51" t="s">
        <v>46</v>
      </c>
      <c r="P301" s="52">
        <v>41124.0</v>
      </c>
    </row>
    <row r="302" ht="14.25" customHeight="1">
      <c r="O302" s="51" t="s">
        <v>48</v>
      </c>
      <c r="P302" s="52">
        <v>41125.0</v>
      </c>
    </row>
    <row r="303" ht="14.25" customHeight="1">
      <c r="O303" s="51" t="s">
        <v>49</v>
      </c>
      <c r="P303" s="52">
        <v>41126.0</v>
      </c>
    </row>
    <row r="304" ht="14.25" customHeight="1">
      <c r="O304" s="51" t="s">
        <v>50</v>
      </c>
      <c r="P304" s="52">
        <v>41127.0</v>
      </c>
    </row>
    <row r="305" ht="14.25" customHeight="1">
      <c r="O305" s="51" t="s">
        <v>51</v>
      </c>
      <c r="P305" s="52">
        <v>41128.0</v>
      </c>
    </row>
    <row r="306" ht="14.25" customHeight="1">
      <c r="O306" s="51" t="s">
        <v>4</v>
      </c>
      <c r="P306" s="52">
        <v>41129.0</v>
      </c>
    </row>
    <row r="307" ht="14.25" customHeight="1">
      <c r="O307" s="51" t="s">
        <v>43</v>
      </c>
      <c r="P307" s="52">
        <v>41130.0</v>
      </c>
    </row>
    <row r="308" ht="14.25" customHeight="1">
      <c r="O308" s="51" t="s">
        <v>44</v>
      </c>
      <c r="P308" s="52">
        <v>41131.0</v>
      </c>
    </row>
    <row r="309" ht="14.25" customHeight="1">
      <c r="O309" s="51" t="s">
        <v>46</v>
      </c>
      <c r="P309" s="52">
        <v>41132.0</v>
      </c>
    </row>
    <row r="310" ht="14.25" customHeight="1">
      <c r="O310" s="51" t="s">
        <v>48</v>
      </c>
      <c r="P310" s="52">
        <v>41133.0</v>
      </c>
    </row>
    <row r="311" ht="14.25" customHeight="1">
      <c r="O311" s="51" t="s">
        <v>49</v>
      </c>
      <c r="P311" s="52">
        <v>41134.0</v>
      </c>
    </row>
    <row r="312" ht="14.25" customHeight="1">
      <c r="O312" s="51" t="s">
        <v>50</v>
      </c>
      <c r="P312" s="52">
        <v>41135.0</v>
      </c>
    </row>
    <row r="313" ht="14.25" customHeight="1">
      <c r="O313" s="51" t="s">
        <v>51</v>
      </c>
      <c r="P313" s="52">
        <v>41136.0</v>
      </c>
    </row>
    <row r="314" ht="14.25" customHeight="1">
      <c r="O314" s="51" t="s">
        <v>4</v>
      </c>
      <c r="P314" s="52">
        <v>41137.0</v>
      </c>
    </row>
    <row r="315" ht="14.25" customHeight="1">
      <c r="O315" s="51" t="s">
        <v>43</v>
      </c>
      <c r="P315" s="52">
        <v>41138.0</v>
      </c>
    </row>
    <row r="316" ht="14.25" customHeight="1">
      <c r="O316" s="51" t="s">
        <v>44</v>
      </c>
      <c r="P316" s="52">
        <v>41139.0</v>
      </c>
    </row>
    <row r="317" ht="14.25" customHeight="1">
      <c r="O317" s="51" t="s">
        <v>46</v>
      </c>
      <c r="P317" s="52">
        <v>41140.0</v>
      </c>
    </row>
    <row r="318" ht="14.25" customHeight="1">
      <c r="O318" s="51" t="s">
        <v>48</v>
      </c>
      <c r="P318" s="52">
        <v>41141.0</v>
      </c>
    </row>
    <row r="319" ht="14.25" customHeight="1">
      <c r="O319" s="51" t="s">
        <v>49</v>
      </c>
      <c r="P319" s="52">
        <v>41142.0</v>
      </c>
    </row>
    <row r="320" ht="14.25" customHeight="1">
      <c r="O320" s="51" t="s">
        <v>50</v>
      </c>
      <c r="P320" s="52">
        <v>41143.0</v>
      </c>
    </row>
    <row r="321" ht="14.25" customHeight="1">
      <c r="O321" s="51" t="s">
        <v>51</v>
      </c>
      <c r="P321" s="52">
        <v>41144.0</v>
      </c>
    </row>
    <row r="322" ht="14.25" customHeight="1">
      <c r="O322" s="51" t="s">
        <v>4</v>
      </c>
      <c r="P322" s="52">
        <v>41145.0</v>
      </c>
    </row>
    <row r="323" ht="14.25" customHeight="1">
      <c r="O323" s="51" t="s">
        <v>43</v>
      </c>
      <c r="P323" s="52">
        <v>41146.0</v>
      </c>
    </row>
    <row r="324" ht="14.25" customHeight="1">
      <c r="O324" s="51" t="s">
        <v>44</v>
      </c>
      <c r="P324" s="52">
        <v>41147.0</v>
      </c>
    </row>
    <row r="325" ht="14.25" customHeight="1">
      <c r="O325" s="51" t="s">
        <v>46</v>
      </c>
      <c r="P325" s="52">
        <v>41148.0</v>
      </c>
    </row>
    <row r="326" ht="14.25" customHeight="1">
      <c r="O326" s="51" t="s">
        <v>48</v>
      </c>
      <c r="P326" s="52">
        <v>41149.0</v>
      </c>
    </row>
    <row r="327" ht="14.25" customHeight="1">
      <c r="O327" s="51" t="s">
        <v>49</v>
      </c>
      <c r="P327" s="52">
        <v>41150.0</v>
      </c>
    </row>
    <row r="328" ht="14.25" customHeight="1">
      <c r="O328" s="51" t="s">
        <v>50</v>
      </c>
      <c r="P328" s="52">
        <v>41151.0</v>
      </c>
    </row>
    <row r="329" ht="14.25" customHeight="1">
      <c r="O329" s="51" t="s">
        <v>51</v>
      </c>
      <c r="P329" s="52">
        <v>41152.0</v>
      </c>
    </row>
    <row r="330" ht="14.25" customHeight="1">
      <c r="O330" s="51" t="s">
        <v>4</v>
      </c>
      <c r="P330" s="52">
        <v>41153.0</v>
      </c>
    </row>
    <row r="331" ht="14.25" customHeight="1">
      <c r="O331" s="51" t="s">
        <v>43</v>
      </c>
      <c r="P331" s="52">
        <v>41154.0</v>
      </c>
    </row>
    <row r="332" ht="14.25" customHeight="1">
      <c r="O332" s="51" t="s">
        <v>44</v>
      </c>
      <c r="P332" s="52">
        <v>41155.0</v>
      </c>
    </row>
    <row r="333" ht="14.25" customHeight="1">
      <c r="O333" s="51" t="s">
        <v>46</v>
      </c>
      <c r="P333" s="52">
        <v>41156.0</v>
      </c>
    </row>
    <row r="334" ht="14.25" customHeight="1">
      <c r="O334" s="51" t="s">
        <v>48</v>
      </c>
      <c r="P334" s="52">
        <v>41157.0</v>
      </c>
    </row>
    <row r="335" ht="14.25" customHeight="1">
      <c r="O335" s="51" t="s">
        <v>49</v>
      </c>
      <c r="P335" s="52">
        <v>41158.0</v>
      </c>
    </row>
    <row r="336" ht="14.25" customHeight="1">
      <c r="O336" s="51" t="s">
        <v>50</v>
      </c>
      <c r="P336" s="52">
        <v>41159.0</v>
      </c>
    </row>
    <row r="337" ht="14.25" customHeight="1">
      <c r="O337" s="51" t="s">
        <v>51</v>
      </c>
      <c r="P337" s="52">
        <v>41160.0</v>
      </c>
    </row>
    <row r="338" ht="14.25" customHeight="1">
      <c r="O338" s="51" t="s">
        <v>4</v>
      </c>
      <c r="P338" s="52">
        <v>41161.0</v>
      </c>
    </row>
    <row r="339" ht="14.25" customHeight="1">
      <c r="O339" s="51" t="s">
        <v>43</v>
      </c>
      <c r="P339" s="52">
        <v>41162.0</v>
      </c>
    </row>
    <row r="340" ht="14.25" customHeight="1">
      <c r="O340" s="51" t="s">
        <v>44</v>
      </c>
      <c r="P340" s="52">
        <v>41163.0</v>
      </c>
    </row>
    <row r="341" ht="14.25" customHeight="1">
      <c r="O341" s="51" t="s">
        <v>46</v>
      </c>
      <c r="P341" s="52">
        <v>41164.0</v>
      </c>
    </row>
    <row r="342" ht="14.25" customHeight="1">
      <c r="O342" s="51" t="s">
        <v>48</v>
      </c>
      <c r="P342" s="52">
        <v>41165.0</v>
      </c>
    </row>
    <row r="343" ht="14.25" customHeight="1">
      <c r="O343" s="51" t="s">
        <v>49</v>
      </c>
      <c r="P343" s="52">
        <v>41166.0</v>
      </c>
    </row>
    <row r="344" ht="14.25" customHeight="1">
      <c r="O344" s="51" t="s">
        <v>50</v>
      </c>
      <c r="P344" s="52">
        <v>41167.0</v>
      </c>
    </row>
    <row r="345" ht="14.25" customHeight="1">
      <c r="O345" s="51" t="s">
        <v>51</v>
      </c>
      <c r="P345" s="52">
        <v>41168.0</v>
      </c>
    </row>
    <row r="346" ht="14.25" customHeight="1">
      <c r="O346" s="51" t="s">
        <v>4</v>
      </c>
      <c r="P346" s="52">
        <v>41169.0</v>
      </c>
    </row>
    <row r="347" ht="14.25" customHeight="1">
      <c r="O347" s="51" t="s">
        <v>43</v>
      </c>
      <c r="P347" s="52">
        <v>41170.0</v>
      </c>
    </row>
    <row r="348" ht="14.25" customHeight="1">
      <c r="O348" s="51" t="s">
        <v>44</v>
      </c>
      <c r="P348" s="52">
        <v>41171.0</v>
      </c>
    </row>
    <row r="349" ht="14.25" customHeight="1">
      <c r="O349" s="51" t="s">
        <v>46</v>
      </c>
      <c r="P349" s="52">
        <v>41172.0</v>
      </c>
    </row>
    <row r="350" ht="14.25" customHeight="1">
      <c r="O350" s="51" t="s">
        <v>48</v>
      </c>
      <c r="P350" s="52">
        <v>41173.0</v>
      </c>
    </row>
    <row r="351" ht="14.25" customHeight="1">
      <c r="O351" s="51" t="s">
        <v>49</v>
      </c>
      <c r="P351" s="52">
        <v>41174.0</v>
      </c>
    </row>
    <row r="352" ht="14.25" customHeight="1">
      <c r="O352" s="51" t="s">
        <v>50</v>
      </c>
      <c r="P352" s="52">
        <v>41175.0</v>
      </c>
    </row>
    <row r="353" ht="14.25" customHeight="1">
      <c r="O353" s="51" t="s">
        <v>51</v>
      </c>
      <c r="P353" s="52">
        <v>41176.0</v>
      </c>
    </row>
    <row r="354" ht="14.25" customHeight="1">
      <c r="O354" s="51" t="s">
        <v>4</v>
      </c>
      <c r="P354" s="52">
        <v>41177.0</v>
      </c>
    </row>
    <row r="355" ht="14.25" customHeight="1">
      <c r="O355" s="51" t="s">
        <v>43</v>
      </c>
      <c r="P355" s="52">
        <v>41178.0</v>
      </c>
    </row>
    <row r="356" ht="14.25" customHeight="1">
      <c r="O356" s="51" t="s">
        <v>44</v>
      </c>
      <c r="P356" s="52">
        <v>41179.0</v>
      </c>
    </row>
    <row r="357" ht="14.25" customHeight="1">
      <c r="O357" s="51" t="s">
        <v>46</v>
      </c>
      <c r="P357" s="52">
        <v>41180.0</v>
      </c>
    </row>
    <row r="358" ht="14.25" customHeight="1">
      <c r="O358" s="51" t="s">
        <v>48</v>
      </c>
      <c r="P358" s="52">
        <v>41181.0</v>
      </c>
    </row>
    <row r="359" ht="14.25" customHeight="1">
      <c r="O359" s="51" t="s">
        <v>49</v>
      </c>
      <c r="P359" s="52">
        <v>41182.0</v>
      </c>
    </row>
    <row r="360" ht="14.25" customHeight="1">
      <c r="O360" s="51" t="s">
        <v>50</v>
      </c>
      <c r="P360" s="52">
        <v>41183.0</v>
      </c>
    </row>
    <row r="361" ht="14.25" customHeight="1">
      <c r="O361" s="51" t="s">
        <v>51</v>
      </c>
      <c r="P361" s="52">
        <v>41184.0</v>
      </c>
    </row>
    <row r="362" ht="14.25" customHeight="1">
      <c r="O362" s="51" t="s">
        <v>4</v>
      </c>
      <c r="P362" s="52">
        <v>41185.0</v>
      </c>
    </row>
    <row r="363" ht="14.25" customHeight="1">
      <c r="O363" s="51" t="s">
        <v>43</v>
      </c>
      <c r="P363" s="52">
        <v>41186.0</v>
      </c>
    </row>
    <row r="364" ht="14.25" customHeight="1">
      <c r="O364" s="51" t="s">
        <v>44</v>
      </c>
      <c r="P364" s="52">
        <v>41187.0</v>
      </c>
    </row>
    <row r="365" ht="14.25" customHeight="1">
      <c r="O365" s="51" t="s">
        <v>46</v>
      </c>
      <c r="P365" s="52">
        <v>41188.0</v>
      </c>
    </row>
    <row r="366" ht="14.25" customHeight="1">
      <c r="O366" s="51" t="s">
        <v>48</v>
      </c>
      <c r="P366" s="52">
        <v>41189.0</v>
      </c>
    </row>
    <row r="367" ht="14.25" customHeight="1">
      <c r="O367" s="51" t="s">
        <v>49</v>
      </c>
      <c r="P367" s="52">
        <v>41190.0</v>
      </c>
    </row>
    <row r="368" ht="14.25" customHeight="1">
      <c r="O368" s="51" t="s">
        <v>50</v>
      </c>
      <c r="P368" s="52">
        <v>41191.0</v>
      </c>
    </row>
    <row r="369" ht="14.25" customHeight="1">
      <c r="O369" s="51" t="s">
        <v>51</v>
      </c>
      <c r="P369" s="52">
        <v>41192.0</v>
      </c>
    </row>
    <row r="370" ht="14.25" customHeight="1">
      <c r="O370" s="51" t="s">
        <v>4</v>
      </c>
      <c r="P370" s="52">
        <v>41193.0</v>
      </c>
    </row>
    <row r="371" ht="14.25" customHeight="1">
      <c r="O371" s="51" t="s">
        <v>43</v>
      </c>
      <c r="P371" s="52">
        <v>41194.0</v>
      </c>
    </row>
    <row r="372" ht="14.25" customHeight="1">
      <c r="O372" s="51" t="s">
        <v>44</v>
      </c>
      <c r="P372" s="52">
        <v>41195.0</v>
      </c>
    </row>
    <row r="373" ht="14.25" customHeight="1">
      <c r="O373" s="51" t="s">
        <v>46</v>
      </c>
      <c r="P373" s="52">
        <v>41196.0</v>
      </c>
    </row>
    <row r="374" ht="14.25" customHeight="1">
      <c r="O374" s="51" t="s">
        <v>48</v>
      </c>
      <c r="P374" s="52">
        <v>41197.0</v>
      </c>
    </row>
    <row r="375" ht="14.25" customHeight="1">
      <c r="O375" s="51" t="s">
        <v>49</v>
      </c>
      <c r="P375" s="52">
        <v>41198.0</v>
      </c>
    </row>
    <row r="376" ht="14.25" customHeight="1">
      <c r="O376" s="51" t="s">
        <v>50</v>
      </c>
      <c r="P376" s="52">
        <v>41199.0</v>
      </c>
    </row>
    <row r="377" ht="14.25" customHeight="1">
      <c r="O377" s="51" t="s">
        <v>51</v>
      </c>
      <c r="P377" s="52">
        <v>41200.0</v>
      </c>
    </row>
    <row r="378" ht="14.25" customHeight="1">
      <c r="O378" s="51" t="s">
        <v>4</v>
      </c>
      <c r="P378" s="52">
        <v>41201.0</v>
      </c>
    </row>
    <row r="379" ht="14.25" customHeight="1">
      <c r="O379" s="51" t="s">
        <v>43</v>
      </c>
      <c r="P379" s="52">
        <v>41202.0</v>
      </c>
    </row>
    <row r="380" ht="14.25" customHeight="1">
      <c r="O380" s="51" t="s">
        <v>44</v>
      </c>
      <c r="P380" s="52">
        <v>41203.0</v>
      </c>
    </row>
    <row r="381" ht="14.25" customHeight="1">
      <c r="O381" s="51" t="s">
        <v>46</v>
      </c>
      <c r="P381" s="52">
        <v>41204.0</v>
      </c>
    </row>
    <row r="382" ht="14.25" customHeight="1">
      <c r="O382" s="51" t="s">
        <v>48</v>
      </c>
      <c r="P382" s="52">
        <v>41205.0</v>
      </c>
    </row>
    <row r="383" ht="14.25" customHeight="1">
      <c r="O383" s="51" t="s">
        <v>49</v>
      </c>
      <c r="P383" s="52">
        <v>41206.0</v>
      </c>
    </row>
    <row r="384" ht="14.25" customHeight="1">
      <c r="O384" s="51" t="s">
        <v>50</v>
      </c>
      <c r="P384" s="52">
        <v>41207.0</v>
      </c>
    </row>
    <row r="385" ht="14.25" customHeight="1">
      <c r="O385" s="51" t="s">
        <v>51</v>
      </c>
      <c r="P385" s="52">
        <v>41208.0</v>
      </c>
    </row>
    <row r="386" ht="14.25" customHeight="1">
      <c r="O386" s="51" t="s">
        <v>4</v>
      </c>
      <c r="P386" s="52">
        <v>41209.0</v>
      </c>
    </row>
    <row r="387" ht="14.25" customHeight="1">
      <c r="O387" s="51" t="s">
        <v>43</v>
      </c>
      <c r="P387" s="52">
        <v>41210.0</v>
      </c>
    </row>
    <row r="388" ht="14.25" customHeight="1">
      <c r="O388" s="51" t="s">
        <v>44</v>
      </c>
      <c r="P388" s="52">
        <v>41211.0</v>
      </c>
    </row>
    <row r="389" ht="14.25" customHeight="1">
      <c r="O389" s="51" t="s">
        <v>46</v>
      </c>
      <c r="P389" s="52">
        <v>41212.0</v>
      </c>
    </row>
    <row r="390" ht="14.25" customHeight="1">
      <c r="O390" s="51" t="s">
        <v>48</v>
      </c>
      <c r="P390" s="52">
        <v>41213.0</v>
      </c>
    </row>
    <row r="391" ht="14.25" customHeight="1">
      <c r="O391" s="51" t="s">
        <v>49</v>
      </c>
      <c r="P391" s="52">
        <v>41214.0</v>
      </c>
    </row>
    <row r="392" ht="14.25" customHeight="1">
      <c r="O392" s="51" t="s">
        <v>50</v>
      </c>
      <c r="P392" s="52">
        <v>41215.0</v>
      </c>
    </row>
    <row r="393" ht="14.25" customHeight="1">
      <c r="O393" s="51" t="s">
        <v>51</v>
      </c>
      <c r="P393" s="52">
        <v>41216.0</v>
      </c>
    </row>
    <row r="394" ht="14.25" customHeight="1">
      <c r="O394" s="51" t="s">
        <v>4</v>
      </c>
      <c r="P394" s="52">
        <v>41217.0</v>
      </c>
    </row>
    <row r="395" ht="14.25" customHeight="1">
      <c r="O395" s="51" t="s">
        <v>43</v>
      </c>
      <c r="P395" s="52">
        <v>41218.0</v>
      </c>
    </row>
    <row r="396" ht="14.25" customHeight="1">
      <c r="O396" s="51" t="s">
        <v>44</v>
      </c>
      <c r="P396" s="52">
        <v>41219.0</v>
      </c>
    </row>
    <row r="397" ht="14.25" customHeight="1">
      <c r="O397" s="51" t="s">
        <v>46</v>
      </c>
      <c r="P397" s="52">
        <v>41220.0</v>
      </c>
    </row>
    <row r="398" ht="14.25" customHeight="1">
      <c r="O398" s="51" t="s">
        <v>48</v>
      </c>
      <c r="P398" s="52">
        <v>41221.0</v>
      </c>
    </row>
    <row r="399" ht="14.25" customHeight="1">
      <c r="O399" s="51" t="s">
        <v>49</v>
      </c>
      <c r="P399" s="52">
        <v>41222.0</v>
      </c>
    </row>
    <row r="400" ht="14.25" customHeight="1">
      <c r="O400" s="51" t="s">
        <v>50</v>
      </c>
      <c r="P400" s="52">
        <v>41223.0</v>
      </c>
    </row>
    <row r="401" ht="14.25" customHeight="1">
      <c r="O401" s="51" t="s">
        <v>51</v>
      </c>
      <c r="P401" s="52">
        <v>41224.0</v>
      </c>
    </row>
    <row r="402" ht="14.25" customHeight="1">
      <c r="O402" s="51" t="s">
        <v>4</v>
      </c>
      <c r="P402" s="52">
        <v>41225.0</v>
      </c>
    </row>
    <row r="403" ht="14.25" customHeight="1">
      <c r="O403" s="51" t="s">
        <v>43</v>
      </c>
      <c r="P403" s="52">
        <v>41226.0</v>
      </c>
    </row>
    <row r="404" ht="14.25" customHeight="1">
      <c r="O404" s="51" t="s">
        <v>44</v>
      </c>
      <c r="P404" s="52">
        <v>41227.0</v>
      </c>
    </row>
    <row r="405" ht="14.25" customHeight="1">
      <c r="O405" s="51" t="s">
        <v>46</v>
      </c>
      <c r="P405" s="52">
        <v>41228.0</v>
      </c>
    </row>
    <row r="406" ht="14.25" customHeight="1">
      <c r="O406" s="51" t="s">
        <v>48</v>
      </c>
      <c r="P406" s="52">
        <v>41229.0</v>
      </c>
    </row>
    <row r="407" ht="14.25" customHeight="1">
      <c r="O407" s="51" t="s">
        <v>49</v>
      </c>
      <c r="P407" s="52">
        <v>41230.0</v>
      </c>
    </row>
    <row r="408" ht="14.25" customHeight="1">
      <c r="O408" s="51" t="s">
        <v>50</v>
      </c>
      <c r="P408" s="52">
        <v>41231.0</v>
      </c>
    </row>
    <row r="409" ht="14.25" customHeight="1">
      <c r="O409" s="51" t="s">
        <v>51</v>
      </c>
      <c r="P409" s="52">
        <v>41232.0</v>
      </c>
    </row>
    <row r="410" ht="14.25" customHeight="1">
      <c r="O410" s="51" t="s">
        <v>4</v>
      </c>
      <c r="P410" s="52">
        <v>41233.0</v>
      </c>
    </row>
    <row r="411" ht="14.25" customHeight="1">
      <c r="O411" s="51" t="s">
        <v>43</v>
      </c>
      <c r="P411" s="52">
        <v>41234.0</v>
      </c>
    </row>
    <row r="412" ht="14.25" customHeight="1">
      <c r="O412" s="51" t="s">
        <v>44</v>
      </c>
      <c r="P412" s="52">
        <v>41235.0</v>
      </c>
    </row>
    <row r="413" ht="14.25" customHeight="1">
      <c r="O413" s="51" t="s">
        <v>46</v>
      </c>
      <c r="P413" s="52">
        <v>41236.0</v>
      </c>
    </row>
    <row r="414" ht="14.25" customHeight="1">
      <c r="O414" s="51" t="s">
        <v>48</v>
      </c>
      <c r="P414" s="52">
        <v>41237.0</v>
      </c>
    </row>
    <row r="415" ht="14.25" customHeight="1">
      <c r="O415" s="51" t="s">
        <v>49</v>
      </c>
      <c r="P415" s="52">
        <v>41238.0</v>
      </c>
    </row>
    <row r="416" ht="14.25" customHeight="1">
      <c r="O416" s="51" t="s">
        <v>50</v>
      </c>
      <c r="P416" s="52">
        <v>41239.0</v>
      </c>
    </row>
    <row r="417" ht="14.25" customHeight="1">
      <c r="O417" s="51" t="s">
        <v>51</v>
      </c>
      <c r="P417" s="52">
        <v>41240.0</v>
      </c>
    </row>
    <row r="418" ht="14.25" customHeight="1">
      <c r="O418" s="51" t="s">
        <v>4</v>
      </c>
      <c r="P418" s="52">
        <v>41241.0</v>
      </c>
    </row>
    <row r="419" ht="14.25" customHeight="1">
      <c r="O419" s="51" t="s">
        <v>43</v>
      </c>
      <c r="P419" s="52">
        <v>41242.0</v>
      </c>
    </row>
    <row r="420" ht="14.25" customHeight="1">
      <c r="O420" s="51" t="s">
        <v>44</v>
      </c>
      <c r="P420" s="52">
        <v>41243.0</v>
      </c>
    </row>
    <row r="421" ht="14.25" customHeight="1">
      <c r="O421" s="51" t="s">
        <v>46</v>
      </c>
      <c r="P421" s="52">
        <v>41244.0</v>
      </c>
    </row>
    <row r="422" ht="14.25" customHeight="1">
      <c r="O422" s="51" t="s">
        <v>48</v>
      </c>
      <c r="P422" s="52">
        <v>41245.0</v>
      </c>
    </row>
    <row r="423" ht="14.25" customHeight="1">
      <c r="O423" s="51" t="s">
        <v>49</v>
      </c>
      <c r="P423" s="52">
        <v>41246.0</v>
      </c>
    </row>
    <row r="424" ht="14.25" customHeight="1">
      <c r="O424" s="51" t="s">
        <v>50</v>
      </c>
      <c r="P424" s="52">
        <v>41247.0</v>
      </c>
    </row>
    <row r="425" ht="14.25" customHeight="1">
      <c r="O425" s="51" t="s">
        <v>51</v>
      </c>
      <c r="P425" s="52">
        <v>41248.0</v>
      </c>
    </row>
    <row r="426" ht="14.25" customHeight="1">
      <c r="O426" s="51" t="s">
        <v>4</v>
      </c>
      <c r="P426" s="52">
        <v>41249.0</v>
      </c>
    </row>
    <row r="427" ht="14.25" customHeight="1">
      <c r="O427" s="51" t="s">
        <v>43</v>
      </c>
      <c r="P427" s="52">
        <v>41250.0</v>
      </c>
    </row>
    <row r="428" ht="14.25" customHeight="1">
      <c r="O428" s="51" t="s">
        <v>44</v>
      </c>
      <c r="P428" s="52">
        <v>41251.0</v>
      </c>
    </row>
    <row r="429" ht="14.25" customHeight="1">
      <c r="O429" s="51" t="s">
        <v>46</v>
      </c>
      <c r="P429" s="52">
        <v>41252.0</v>
      </c>
    </row>
    <row r="430" ht="14.25" customHeight="1">
      <c r="O430" s="51" t="s">
        <v>48</v>
      </c>
      <c r="P430" s="52">
        <v>41253.0</v>
      </c>
    </row>
    <row r="431" ht="14.25" customHeight="1">
      <c r="O431" s="51" t="s">
        <v>49</v>
      </c>
      <c r="P431" s="52">
        <v>41254.0</v>
      </c>
    </row>
    <row r="432" ht="14.25" customHeight="1">
      <c r="O432" s="51" t="s">
        <v>50</v>
      </c>
      <c r="P432" s="52">
        <v>41255.0</v>
      </c>
    </row>
    <row r="433" ht="14.25" customHeight="1">
      <c r="O433" s="51" t="s">
        <v>51</v>
      </c>
      <c r="P433" s="52">
        <v>41256.0</v>
      </c>
    </row>
    <row r="434" ht="14.25" customHeight="1">
      <c r="O434" s="51" t="s">
        <v>4</v>
      </c>
      <c r="P434" s="52">
        <v>41257.0</v>
      </c>
    </row>
    <row r="435" ht="14.25" customHeight="1">
      <c r="O435" s="51" t="s">
        <v>43</v>
      </c>
      <c r="P435" s="52">
        <v>41258.0</v>
      </c>
    </row>
    <row r="436" ht="14.25" customHeight="1">
      <c r="O436" s="51" t="s">
        <v>44</v>
      </c>
      <c r="P436" s="52">
        <v>41259.0</v>
      </c>
    </row>
    <row r="437" ht="14.25" customHeight="1">
      <c r="O437" s="51" t="s">
        <v>46</v>
      </c>
      <c r="P437" s="52">
        <v>41260.0</v>
      </c>
    </row>
    <row r="438" ht="14.25" customHeight="1">
      <c r="O438" s="51" t="s">
        <v>48</v>
      </c>
      <c r="P438" s="52">
        <v>41261.0</v>
      </c>
    </row>
    <row r="439" ht="14.25" customHeight="1">
      <c r="O439" s="51" t="s">
        <v>49</v>
      </c>
      <c r="P439" s="52">
        <v>41262.0</v>
      </c>
    </row>
    <row r="440" ht="14.25" customHeight="1">
      <c r="O440" s="51" t="s">
        <v>50</v>
      </c>
      <c r="P440" s="52">
        <v>41263.0</v>
      </c>
    </row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2:A3"/>
    <mergeCell ref="D2:L2"/>
    <mergeCell ref="D3:L3"/>
    <mergeCell ref="A6:A7"/>
    <mergeCell ref="D6:L6"/>
    <mergeCell ref="D7:L7"/>
  </mergeCells>
  <dataValidations>
    <dataValidation type="list" allowBlank="1" showErrorMessage="1" sqref="B3">
      <formula1>$M$1:$M$15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43"/>
    <col customWidth="1" min="2" max="2" width="32.29"/>
    <col customWidth="1" min="3" max="3" width="10.86"/>
    <col customWidth="1" min="4" max="4" width="15.0"/>
    <col customWidth="1" min="5" max="5" width="8.71"/>
    <col customWidth="1" min="6" max="6" width="11.86"/>
    <col customWidth="1" min="7" max="7" width="33.86"/>
    <col customWidth="1" min="8" max="8" width="8.71"/>
    <col customWidth="1" min="9" max="9" width="9.14"/>
    <col customWidth="1" min="10" max="26" width="8.71"/>
  </cols>
  <sheetData>
    <row r="1" ht="14.25" customHeight="1">
      <c r="A1" s="64" t="s">
        <v>52</v>
      </c>
      <c r="B1" s="65"/>
      <c r="C1" s="65"/>
      <c r="D1" s="65"/>
      <c r="E1" s="65"/>
      <c r="F1" s="65"/>
      <c r="G1" s="66"/>
      <c r="I1" s="67"/>
    </row>
    <row r="2" ht="14.25" customHeight="1">
      <c r="A2" s="27"/>
      <c r="B2" s="27"/>
      <c r="C2" s="27"/>
      <c r="D2" s="68"/>
      <c r="E2" s="68"/>
      <c r="F2" s="68"/>
      <c r="G2" s="69"/>
      <c r="I2" s="67"/>
    </row>
    <row r="3" ht="14.25" customHeight="1">
      <c r="A3" s="70" t="s">
        <v>1</v>
      </c>
      <c r="B3" s="8"/>
      <c r="C3" s="7"/>
      <c r="D3" s="71"/>
      <c r="E3" s="71"/>
      <c r="F3" s="71"/>
      <c r="G3" s="35"/>
      <c r="I3" s="67"/>
    </row>
    <row r="4" ht="14.25" customHeight="1">
      <c r="A4" s="72">
        <v>40826.0</v>
      </c>
      <c r="B4" s="73">
        <v>40826.0</v>
      </c>
      <c r="C4" s="74">
        <v>40826.0</v>
      </c>
      <c r="D4" s="75">
        <v>40826.0</v>
      </c>
      <c r="E4" s="76">
        <v>40826.0</v>
      </c>
      <c r="F4" s="77">
        <v>40826.0</v>
      </c>
      <c r="G4" s="78">
        <v>40826.0</v>
      </c>
      <c r="I4" s="67"/>
    </row>
    <row r="5" ht="14.25" customHeight="1">
      <c r="A5" s="79">
        <v>40835.00763888889</v>
      </c>
      <c r="B5" s="80" t="str">
        <f t="shared" ref="B5:B16" si="1">TEXT(A5,"DDDD,MMMM DD,YYYY")</f>
        <v>Wednesday,October 19,2011</v>
      </c>
      <c r="C5" s="81" t="str">
        <f t="shared" ref="C5:C16" si="2">TEXT(A5,"MM/DD")</f>
        <v>10/19</v>
      </c>
      <c r="D5" s="82" t="str">
        <f t="shared" ref="D5:D16" si="3">TEXT(A5,"MM-YY")</f>
        <v>10-11</v>
      </c>
      <c r="E5" s="81" t="str">
        <f t="shared" ref="E5:E16" si="4">TEXT(A5,"DD-MM")</f>
        <v>19-10</v>
      </c>
      <c r="F5" s="81" t="str">
        <f t="shared" ref="F5:F16" si="5">TEXT(A5,"DD-MM-YY")</f>
        <v>19-10-11</v>
      </c>
      <c r="G5" s="81" t="str">
        <f t="shared" ref="G5:G16" si="6">TEXT(A5,"DDDD,MMMM DD,YYYY")</f>
        <v>Wednesday,October 19,2011</v>
      </c>
      <c r="I5" s="67"/>
    </row>
    <row r="6" ht="14.25" customHeight="1">
      <c r="A6" s="83">
        <v>40826.00763888889</v>
      </c>
      <c r="B6" s="80" t="str">
        <f t="shared" si="1"/>
        <v>Monday,October 10,2011</v>
      </c>
      <c r="C6" s="81" t="str">
        <f t="shared" si="2"/>
        <v>10/10</v>
      </c>
      <c r="D6" s="82" t="str">
        <f t="shared" si="3"/>
        <v>10-11</v>
      </c>
      <c r="E6" s="81" t="str">
        <f t="shared" si="4"/>
        <v>10-10</v>
      </c>
      <c r="F6" s="81" t="str">
        <f t="shared" si="5"/>
        <v>10-10-11</v>
      </c>
      <c r="G6" s="81" t="str">
        <f t="shared" si="6"/>
        <v>Monday,October 10,2011</v>
      </c>
      <c r="I6" s="67"/>
    </row>
    <row r="7" ht="14.25" customHeight="1">
      <c r="A7" s="83">
        <v>40827.00763888889</v>
      </c>
      <c r="B7" s="80" t="str">
        <f t="shared" si="1"/>
        <v>Tuesday,October 11,2011</v>
      </c>
      <c r="C7" s="81" t="str">
        <f t="shared" si="2"/>
        <v>10/11</v>
      </c>
      <c r="D7" s="82" t="str">
        <f t="shared" si="3"/>
        <v>10-11</v>
      </c>
      <c r="E7" s="81" t="str">
        <f t="shared" si="4"/>
        <v>11-10</v>
      </c>
      <c r="F7" s="81" t="str">
        <f t="shared" si="5"/>
        <v>11-10-11</v>
      </c>
      <c r="G7" s="81" t="str">
        <f t="shared" si="6"/>
        <v>Tuesday,October 11,2011</v>
      </c>
      <c r="I7" s="67"/>
    </row>
    <row r="8" ht="14.25" customHeight="1">
      <c r="A8" s="83">
        <v>40828.00763888889</v>
      </c>
      <c r="B8" s="80" t="str">
        <f t="shared" si="1"/>
        <v>Wednesday,October 12,2011</v>
      </c>
      <c r="C8" s="81" t="str">
        <f t="shared" si="2"/>
        <v>10/12</v>
      </c>
      <c r="D8" s="82" t="str">
        <f t="shared" si="3"/>
        <v>10-11</v>
      </c>
      <c r="E8" s="81" t="str">
        <f t="shared" si="4"/>
        <v>12-10</v>
      </c>
      <c r="F8" s="81" t="str">
        <f t="shared" si="5"/>
        <v>12-10-11</v>
      </c>
      <c r="G8" s="81" t="str">
        <f t="shared" si="6"/>
        <v>Wednesday,October 12,2011</v>
      </c>
      <c r="I8" s="67"/>
    </row>
    <row r="9" ht="14.25" customHeight="1">
      <c r="A9" s="83">
        <v>40829.00763888889</v>
      </c>
      <c r="B9" s="80" t="str">
        <f t="shared" si="1"/>
        <v>Thursday,October 13,2011</v>
      </c>
      <c r="C9" s="81" t="str">
        <f t="shared" si="2"/>
        <v>10/13</v>
      </c>
      <c r="D9" s="82" t="str">
        <f t="shared" si="3"/>
        <v>10-11</v>
      </c>
      <c r="E9" s="81" t="str">
        <f t="shared" si="4"/>
        <v>13-10</v>
      </c>
      <c r="F9" s="81" t="str">
        <f t="shared" si="5"/>
        <v>13-10-11</v>
      </c>
      <c r="G9" s="81" t="str">
        <f t="shared" si="6"/>
        <v>Thursday,October 13,2011</v>
      </c>
      <c r="I9" s="84"/>
    </row>
    <row r="10" ht="14.25" customHeight="1">
      <c r="A10" s="83">
        <v>40830.00763888889</v>
      </c>
      <c r="B10" s="80" t="str">
        <f t="shared" si="1"/>
        <v>Friday,October 14,2011</v>
      </c>
      <c r="C10" s="81" t="str">
        <f t="shared" si="2"/>
        <v>10/14</v>
      </c>
      <c r="D10" s="82" t="str">
        <f t="shared" si="3"/>
        <v>10-11</v>
      </c>
      <c r="E10" s="81" t="str">
        <f t="shared" si="4"/>
        <v>14-10</v>
      </c>
      <c r="F10" s="81" t="str">
        <f t="shared" si="5"/>
        <v>14-10-11</v>
      </c>
      <c r="G10" s="81" t="str">
        <f t="shared" si="6"/>
        <v>Friday,October 14,2011</v>
      </c>
    </row>
    <row r="11" ht="14.25" customHeight="1">
      <c r="A11" s="83">
        <v>40831.00763888889</v>
      </c>
      <c r="B11" s="80" t="str">
        <f t="shared" si="1"/>
        <v>Saturday,October 15,2011</v>
      </c>
      <c r="C11" s="81" t="str">
        <f t="shared" si="2"/>
        <v>10/15</v>
      </c>
      <c r="D11" s="82" t="str">
        <f t="shared" si="3"/>
        <v>10-11</v>
      </c>
      <c r="E11" s="81" t="str">
        <f t="shared" si="4"/>
        <v>15-10</v>
      </c>
      <c r="F11" s="81" t="str">
        <f t="shared" si="5"/>
        <v>15-10-11</v>
      </c>
      <c r="G11" s="81" t="str">
        <f t="shared" si="6"/>
        <v>Saturday,October 15,2011</v>
      </c>
      <c r="I11" s="67"/>
    </row>
    <row r="12" ht="14.25" customHeight="1">
      <c r="A12" s="83">
        <v>40832.00763888889</v>
      </c>
      <c r="B12" s="80" t="str">
        <f t="shared" si="1"/>
        <v>Sunday,October 16,2011</v>
      </c>
      <c r="C12" s="81" t="str">
        <f t="shared" si="2"/>
        <v>10/16</v>
      </c>
      <c r="D12" s="82" t="str">
        <f t="shared" si="3"/>
        <v>10-11</v>
      </c>
      <c r="E12" s="81" t="str">
        <f t="shared" si="4"/>
        <v>16-10</v>
      </c>
      <c r="F12" s="81" t="str">
        <f t="shared" si="5"/>
        <v>16-10-11</v>
      </c>
      <c r="G12" s="81" t="str">
        <f t="shared" si="6"/>
        <v>Sunday,October 16,2011</v>
      </c>
      <c r="H12" s="15"/>
      <c r="I12" s="67"/>
    </row>
    <row r="13" ht="14.25" customHeight="1">
      <c r="A13" s="85">
        <v>40833.00763888889</v>
      </c>
      <c r="B13" s="80" t="str">
        <f t="shared" si="1"/>
        <v>Monday,October 17,2011</v>
      </c>
      <c r="C13" s="81" t="str">
        <f t="shared" si="2"/>
        <v>10/17</v>
      </c>
      <c r="D13" s="82" t="str">
        <f t="shared" si="3"/>
        <v>10-11</v>
      </c>
      <c r="E13" s="81" t="str">
        <f t="shared" si="4"/>
        <v>17-10</v>
      </c>
      <c r="F13" s="81" t="str">
        <f t="shared" si="5"/>
        <v>17-10-11</v>
      </c>
      <c r="G13" s="81" t="str">
        <f t="shared" si="6"/>
        <v>Monday,October 17,2011</v>
      </c>
    </row>
    <row r="14" ht="14.25" customHeight="1">
      <c r="A14" s="85">
        <v>40834.00763888889</v>
      </c>
      <c r="B14" s="80" t="str">
        <f t="shared" si="1"/>
        <v>Tuesday,October 18,2011</v>
      </c>
      <c r="C14" s="81" t="str">
        <f t="shared" si="2"/>
        <v>10/18</v>
      </c>
      <c r="D14" s="82" t="str">
        <f t="shared" si="3"/>
        <v>10-11</v>
      </c>
      <c r="E14" s="81" t="str">
        <f t="shared" si="4"/>
        <v>18-10</v>
      </c>
      <c r="F14" s="81" t="str">
        <f t="shared" si="5"/>
        <v>18-10-11</v>
      </c>
      <c r="G14" s="81" t="str">
        <f t="shared" si="6"/>
        <v>Tuesday,October 18,2011</v>
      </c>
      <c r="I14" s="67"/>
    </row>
    <row r="15" ht="14.25" customHeight="1">
      <c r="A15" s="85">
        <v>40835.00763888889</v>
      </c>
      <c r="B15" s="80" t="str">
        <f t="shared" si="1"/>
        <v>Wednesday,October 19,2011</v>
      </c>
      <c r="C15" s="81" t="str">
        <f t="shared" si="2"/>
        <v>10/19</v>
      </c>
      <c r="D15" s="82" t="str">
        <f t="shared" si="3"/>
        <v>10-11</v>
      </c>
      <c r="E15" s="81" t="str">
        <f t="shared" si="4"/>
        <v>19-10</v>
      </c>
      <c r="F15" s="81" t="str">
        <f t="shared" si="5"/>
        <v>19-10-11</v>
      </c>
      <c r="G15" s="81" t="str">
        <f t="shared" si="6"/>
        <v>Wednesday,October 19,2011</v>
      </c>
      <c r="I15" s="67"/>
    </row>
    <row r="16" ht="14.25" customHeight="1">
      <c r="A16" s="86">
        <v>40836.00763888889</v>
      </c>
      <c r="B16" s="80" t="str">
        <f t="shared" si="1"/>
        <v>Thursday,October 20,2011</v>
      </c>
      <c r="C16" s="81" t="str">
        <f t="shared" si="2"/>
        <v>10/20</v>
      </c>
      <c r="D16" s="82" t="str">
        <f t="shared" si="3"/>
        <v>10-11</v>
      </c>
      <c r="E16" s="81" t="str">
        <f t="shared" si="4"/>
        <v>20-10</v>
      </c>
      <c r="F16" s="81" t="str">
        <f t="shared" si="5"/>
        <v>20-10-11</v>
      </c>
      <c r="G16" s="81" t="str">
        <f t="shared" si="6"/>
        <v>Thursday,October 20,2011</v>
      </c>
      <c r="I16" s="67"/>
    </row>
    <row r="17" ht="14.25" customHeight="1">
      <c r="A17" s="10"/>
      <c r="B17" s="10"/>
      <c r="C17" s="10"/>
      <c r="D17" s="10"/>
      <c r="F17" s="10"/>
      <c r="I17" s="67"/>
    </row>
    <row r="18" ht="14.25" customHeight="1">
      <c r="I18" s="67"/>
    </row>
    <row r="19" ht="14.25" customHeight="1">
      <c r="I19" s="67"/>
    </row>
    <row r="20" ht="14.25" customHeight="1">
      <c r="I20" s="67"/>
    </row>
    <row r="21" ht="14.25" customHeight="1">
      <c r="I21" s="67"/>
    </row>
    <row r="22" ht="14.25" customHeight="1">
      <c r="I22" s="67"/>
    </row>
    <row r="23" ht="14.25" customHeight="1">
      <c r="I23" s="67"/>
    </row>
    <row r="24" ht="14.25" customHeight="1">
      <c r="C24" s="87"/>
      <c r="I24" s="67"/>
    </row>
    <row r="25" ht="14.25" customHeight="1">
      <c r="I25" s="67"/>
    </row>
    <row r="26" ht="14.25" customHeight="1">
      <c r="I26" s="67"/>
    </row>
    <row r="27" ht="14.25" customHeight="1">
      <c r="I27" s="67"/>
    </row>
    <row r="28" ht="14.25" customHeight="1">
      <c r="I28" s="67"/>
    </row>
    <row r="29" ht="14.25" customHeight="1">
      <c r="I29" s="67"/>
    </row>
    <row r="30" ht="14.25" customHeight="1">
      <c r="I30" s="67"/>
    </row>
    <row r="31" ht="14.25" customHeight="1">
      <c r="I31" s="67"/>
    </row>
    <row r="32" ht="14.25" customHeight="1">
      <c r="I32" s="67"/>
    </row>
    <row r="33" ht="14.25" customHeight="1">
      <c r="I33" s="67"/>
    </row>
    <row r="34" ht="14.25" customHeight="1">
      <c r="I34" s="67"/>
    </row>
    <row r="35" ht="14.25" customHeight="1">
      <c r="I35" s="67"/>
    </row>
    <row r="36" ht="14.25" customHeight="1">
      <c r="I36" s="67"/>
    </row>
    <row r="37" ht="14.25" customHeight="1">
      <c r="I37" s="67"/>
    </row>
    <row r="38" ht="14.25" customHeight="1">
      <c r="I38" s="67"/>
    </row>
    <row r="39" ht="14.25" customHeight="1">
      <c r="I39" s="67"/>
    </row>
    <row r="40" ht="14.25" customHeight="1">
      <c r="I40" s="67"/>
    </row>
    <row r="41" ht="14.25" customHeight="1">
      <c r="I41" s="67"/>
    </row>
    <row r="42" ht="14.25" customHeight="1">
      <c r="I42" s="67"/>
    </row>
    <row r="43" ht="14.25" customHeight="1">
      <c r="I43" s="67"/>
    </row>
    <row r="44" ht="14.25" customHeight="1">
      <c r="I44" s="67"/>
    </row>
    <row r="45" ht="14.25" customHeight="1">
      <c r="I45" s="67"/>
    </row>
    <row r="46" ht="14.25" customHeight="1">
      <c r="I46" s="67"/>
    </row>
    <row r="47" ht="14.25" customHeight="1">
      <c r="I47" s="67"/>
    </row>
    <row r="48" ht="14.25" customHeight="1">
      <c r="I48" s="67"/>
    </row>
    <row r="49" ht="14.25" customHeight="1">
      <c r="I49" s="67"/>
    </row>
    <row r="50" ht="14.25" customHeight="1">
      <c r="I50" s="67"/>
    </row>
    <row r="51" ht="14.25" customHeight="1">
      <c r="I51" s="67"/>
    </row>
    <row r="52" ht="14.25" customHeight="1">
      <c r="I52" s="67"/>
    </row>
    <row r="53" ht="14.25" customHeight="1">
      <c r="I53" s="67"/>
    </row>
    <row r="54" ht="14.25" customHeight="1">
      <c r="I54" s="67"/>
    </row>
    <row r="55" ht="14.25" customHeight="1">
      <c r="I55" s="67"/>
    </row>
    <row r="56" ht="14.25" customHeight="1">
      <c r="I56" s="67"/>
    </row>
    <row r="57" ht="14.25" customHeight="1">
      <c r="I57" s="67"/>
    </row>
    <row r="58" ht="14.25" customHeight="1">
      <c r="I58" s="67"/>
    </row>
    <row r="59" ht="14.25" customHeight="1">
      <c r="I59" s="67"/>
    </row>
    <row r="60" ht="14.25" customHeight="1">
      <c r="I60" s="67"/>
    </row>
    <row r="61" ht="14.25" customHeight="1">
      <c r="I61" s="67"/>
    </row>
    <row r="62" ht="14.25" customHeight="1">
      <c r="I62" s="67"/>
    </row>
    <row r="63" ht="14.25" customHeight="1">
      <c r="I63" s="67"/>
    </row>
    <row r="64" ht="14.25" customHeight="1">
      <c r="I64" s="67"/>
    </row>
    <row r="65" ht="14.25" customHeight="1">
      <c r="I65" s="67"/>
    </row>
    <row r="66" ht="14.25" customHeight="1">
      <c r="I66" s="67"/>
    </row>
    <row r="67" ht="14.25" customHeight="1">
      <c r="I67" s="67"/>
    </row>
    <row r="68" ht="14.25" customHeight="1">
      <c r="I68" s="67"/>
    </row>
    <row r="69" ht="14.25" customHeight="1">
      <c r="I69" s="67"/>
    </row>
    <row r="70" ht="14.25" customHeight="1">
      <c r="I70" s="67"/>
    </row>
    <row r="71" ht="14.25" customHeight="1">
      <c r="I71" s="67"/>
    </row>
    <row r="72" ht="14.25" customHeight="1">
      <c r="I72" s="67"/>
    </row>
    <row r="73" ht="14.25" customHeight="1">
      <c r="I73" s="67"/>
    </row>
    <row r="74" ht="14.25" customHeight="1">
      <c r="I74" s="67"/>
    </row>
    <row r="75" ht="14.25" customHeight="1">
      <c r="I75" s="67"/>
    </row>
    <row r="76" ht="14.25" customHeight="1">
      <c r="I76" s="67"/>
    </row>
    <row r="77" ht="14.25" customHeight="1">
      <c r="I77" s="67"/>
    </row>
    <row r="78" ht="14.25" customHeight="1">
      <c r="I78" s="67"/>
    </row>
    <row r="79" ht="14.25" customHeight="1">
      <c r="I79" s="67"/>
    </row>
    <row r="80" ht="14.25" customHeight="1">
      <c r="I80" s="67"/>
    </row>
    <row r="81" ht="14.25" customHeight="1">
      <c r="I81" s="67"/>
    </row>
    <row r="82" ht="14.25" customHeight="1">
      <c r="I82" s="67"/>
    </row>
    <row r="83" ht="14.25" customHeight="1">
      <c r="I83" s="67"/>
    </row>
    <row r="84" ht="14.25" customHeight="1">
      <c r="I84" s="67"/>
    </row>
    <row r="85" ht="14.25" customHeight="1">
      <c r="I85" s="67"/>
    </row>
    <row r="86" ht="14.25" customHeight="1">
      <c r="I86" s="67"/>
    </row>
    <row r="87" ht="14.25" customHeight="1">
      <c r="I87" s="67"/>
    </row>
    <row r="88" ht="14.25" customHeight="1">
      <c r="I88" s="67"/>
    </row>
    <row r="89" ht="14.25" customHeight="1">
      <c r="I89" s="67"/>
    </row>
    <row r="90" ht="14.25" customHeight="1">
      <c r="I90" s="67"/>
    </row>
    <row r="91" ht="14.25" customHeight="1">
      <c r="I91" s="67"/>
    </row>
    <row r="92" ht="14.25" customHeight="1">
      <c r="I92" s="67"/>
    </row>
    <row r="93" ht="14.25" customHeight="1">
      <c r="I93" s="67"/>
    </row>
    <row r="94" ht="14.25" customHeight="1">
      <c r="I94" s="67"/>
    </row>
    <row r="95" ht="14.25" customHeight="1">
      <c r="I95" s="67"/>
    </row>
    <row r="96" ht="14.25" customHeight="1">
      <c r="I96" s="67"/>
    </row>
    <row r="97" ht="14.25" customHeight="1">
      <c r="I97" s="67"/>
    </row>
    <row r="98" ht="14.25" customHeight="1">
      <c r="I98" s="67"/>
    </row>
    <row r="99" ht="14.25" customHeight="1">
      <c r="I99" s="67"/>
    </row>
    <row r="100" ht="14.25" customHeight="1">
      <c r="I100" s="67"/>
    </row>
    <row r="101" ht="14.25" customHeight="1">
      <c r="I101" s="67"/>
    </row>
    <row r="102" ht="14.25" customHeight="1">
      <c r="I102" s="67"/>
    </row>
    <row r="103" ht="14.25" customHeight="1">
      <c r="I103" s="67"/>
    </row>
    <row r="104" ht="14.25" customHeight="1">
      <c r="I104" s="67"/>
    </row>
    <row r="105" ht="14.25" customHeight="1">
      <c r="I105" s="67"/>
    </row>
    <row r="106" ht="14.25" customHeight="1">
      <c r="I106" s="67"/>
    </row>
    <row r="107" ht="14.25" customHeight="1">
      <c r="I107" s="67"/>
    </row>
    <row r="108" ht="14.25" customHeight="1">
      <c r="I108" s="67"/>
    </row>
    <row r="109" ht="14.25" customHeight="1">
      <c r="I109" s="67"/>
    </row>
    <row r="110" ht="14.25" customHeight="1">
      <c r="I110" s="67"/>
    </row>
    <row r="111" ht="14.25" customHeight="1">
      <c r="I111" s="67"/>
    </row>
    <row r="112" ht="14.25" customHeight="1">
      <c r="I112" s="67"/>
    </row>
    <row r="113" ht="14.25" customHeight="1">
      <c r="I113" s="67"/>
    </row>
    <row r="114" ht="14.25" customHeight="1">
      <c r="I114" s="67"/>
    </row>
    <row r="115" ht="14.25" customHeight="1">
      <c r="I115" s="67"/>
    </row>
    <row r="116" ht="14.25" customHeight="1">
      <c r="I116" s="67"/>
    </row>
    <row r="117" ht="14.25" customHeight="1">
      <c r="I117" s="67"/>
    </row>
    <row r="118" ht="14.25" customHeight="1">
      <c r="I118" s="67"/>
    </row>
    <row r="119" ht="14.25" customHeight="1">
      <c r="I119" s="67"/>
    </row>
    <row r="120" ht="14.25" customHeight="1">
      <c r="I120" s="67"/>
    </row>
    <row r="121" ht="14.25" customHeight="1">
      <c r="I121" s="67"/>
    </row>
    <row r="122" ht="14.25" customHeight="1">
      <c r="I122" s="67"/>
    </row>
    <row r="123" ht="14.25" customHeight="1">
      <c r="I123" s="67"/>
    </row>
    <row r="124" ht="14.25" customHeight="1">
      <c r="I124" s="67"/>
    </row>
    <row r="125" ht="14.25" customHeight="1">
      <c r="I125" s="67"/>
    </row>
    <row r="126" ht="14.25" customHeight="1">
      <c r="I126" s="67"/>
    </row>
    <row r="127" ht="14.25" customHeight="1">
      <c r="I127" s="67"/>
    </row>
    <row r="128" ht="14.25" customHeight="1">
      <c r="I128" s="67"/>
    </row>
    <row r="129" ht="14.25" customHeight="1">
      <c r="I129" s="67"/>
    </row>
    <row r="130" ht="14.25" customHeight="1">
      <c r="I130" s="67"/>
    </row>
    <row r="131" ht="14.25" customHeight="1">
      <c r="I131" s="67"/>
    </row>
    <row r="132" ht="14.25" customHeight="1">
      <c r="I132" s="67"/>
    </row>
    <row r="133" ht="14.25" customHeight="1">
      <c r="I133" s="67"/>
    </row>
    <row r="134" ht="14.25" customHeight="1">
      <c r="I134" s="67"/>
    </row>
    <row r="135" ht="14.25" customHeight="1">
      <c r="I135" s="67"/>
    </row>
    <row r="136" ht="14.25" customHeight="1">
      <c r="I136" s="67"/>
    </row>
    <row r="137" ht="14.25" customHeight="1">
      <c r="I137" s="67"/>
    </row>
    <row r="138" ht="14.25" customHeight="1">
      <c r="I138" s="67"/>
    </row>
    <row r="139" ht="14.25" customHeight="1">
      <c r="I139" s="67"/>
    </row>
    <row r="140" ht="14.25" customHeight="1">
      <c r="I140" s="67"/>
    </row>
    <row r="141" ht="14.25" customHeight="1">
      <c r="I141" s="67"/>
    </row>
    <row r="142" ht="14.25" customHeight="1">
      <c r="I142" s="67"/>
    </row>
    <row r="143" ht="14.25" customHeight="1">
      <c r="I143" s="67"/>
    </row>
    <row r="144" ht="14.25" customHeight="1">
      <c r="I144" s="67"/>
    </row>
    <row r="145" ht="14.25" customHeight="1">
      <c r="I145" s="67"/>
    </row>
    <row r="146" ht="14.25" customHeight="1">
      <c r="I146" s="67"/>
    </row>
    <row r="147" ht="14.25" customHeight="1">
      <c r="I147" s="67"/>
    </row>
    <row r="148" ht="14.25" customHeight="1">
      <c r="I148" s="67"/>
    </row>
    <row r="149" ht="14.25" customHeight="1">
      <c r="I149" s="67"/>
    </row>
    <row r="150" ht="14.25" customHeight="1">
      <c r="I150" s="67"/>
    </row>
    <row r="151" ht="14.25" customHeight="1">
      <c r="I151" s="67"/>
    </row>
    <row r="152" ht="14.25" customHeight="1">
      <c r="I152" s="67"/>
    </row>
    <row r="153" ht="14.25" customHeight="1">
      <c r="I153" s="67"/>
    </row>
    <row r="154" ht="14.25" customHeight="1">
      <c r="I154" s="67"/>
    </row>
    <row r="155" ht="14.25" customHeight="1">
      <c r="I155" s="67"/>
    </row>
    <row r="156" ht="14.25" customHeight="1">
      <c r="I156" s="67"/>
    </row>
    <row r="157" ht="14.25" customHeight="1">
      <c r="I157" s="67"/>
    </row>
    <row r="158" ht="14.25" customHeight="1">
      <c r="I158" s="67"/>
    </row>
    <row r="159" ht="14.25" customHeight="1">
      <c r="I159" s="67"/>
    </row>
    <row r="160" ht="14.25" customHeight="1">
      <c r="I160" s="67"/>
    </row>
    <row r="161" ht="14.25" customHeight="1">
      <c r="I161" s="67"/>
    </row>
    <row r="162" ht="14.25" customHeight="1">
      <c r="I162" s="67"/>
    </row>
    <row r="163" ht="14.25" customHeight="1">
      <c r="I163" s="67"/>
    </row>
    <row r="164" ht="14.25" customHeight="1">
      <c r="I164" s="67"/>
    </row>
    <row r="165" ht="14.25" customHeight="1">
      <c r="I165" s="67"/>
    </row>
    <row r="166" ht="14.25" customHeight="1">
      <c r="I166" s="67"/>
    </row>
    <row r="167" ht="14.25" customHeight="1">
      <c r="I167" s="67"/>
    </row>
    <row r="168" ht="14.25" customHeight="1">
      <c r="I168" s="67"/>
    </row>
    <row r="169" ht="14.25" customHeight="1">
      <c r="I169" s="67"/>
    </row>
    <row r="170" ht="14.25" customHeight="1">
      <c r="I170" s="67"/>
    </row>
    <row r="171" ht="14.25" customHeight="1">
      <c r="I171" s="67"/>
    </row>
    <row r="172" ht="14.25" customHeight="1">
      <c r="I172" s="67"/>
    </row>
    <row r="173" ht="14.25" customHeight="1">
      <c r="I173" s="67"/>
    </row>
    <row r="174" ht="14.25" customHeight="1">
      <c r="I174" s="67"/>
    </row>
    <row r="175" ht="14.25" customHeight="1">
      <c r="I175" s="67"/>
    </row>
    <row r="176" ht="14.25" customHeight="1">
      <c r="I176" s="67"/>
    </row>
    <row r="177" ht="14.25" customHeight="1">
      <c r="I177" s="67"/>
    </row>
    <row r="178" ht="14.25" customHeight="1">
      <c r="I178" s="67"/>
    </row>
    <row r="179" ht="14.25" customHeight="1">
      <c r="I179" s="67"/>
    </row>
    <row r="180" ht="14.25" customHeight="1">
      <c r="I180" s="67"/>
    </row>
    <row r="181" ht="14.25" customHeight="1">
      <c r="I181" s="67"/>
    </row>
    <row r="182" ht="14.25" customHeight="1">
      <c r="I182" s="67"/>
    </row>
    <row r="183" ht="14.25" customHeight="1">
      <c r="I183" s="67"/>
    </row>
    <row r="184" ht="14.25" customHeight="1">
      <c r="I184" s="67"/>
    </row>
    <row r="185" ht="14.25" customHeight="1">
      <c r="I185" s="67"/>
    </row>
    <row r="186" ht="14.25" customHeight="1">
      <c r="I186" s="67"/>
    </row>
    <row r="187" ht="14.25" customHeight="1">
      <c r="I187" s="67"/>
    </row>
    <row r="188" ht="14.25" customHeight="1">
      <c r="I188" s="67"/>
    </row>
    <row r="189" ht="14.25" customHeight="1">
      <c r="I189" s="67"/>
    </row>
    <row r="190" ht="14.25" customHeight="1">
      <c r="I190" s="67"/>
    </row>
    <row r="191" ht="14.25" customHeight="1">
      <c r="I191" s="67"/>
    </row>
    <row r="192" ht="14.25" customHeight="1">
      <c r="I192" s="67"/>
    </row>
    <row r="193" ht="14.25" customHeight="1">
      <c r="I193" s="67"/>
    </row>
    <row r="194" ht="14.25" customHeight="1">
      <c r="I194" s="67"/>
    </row>
    <row r="195" ht="14.25" customHeight="1">
      <c r="I195" s="67"/>
    </row>
    <row r="196" ht="14.25" customHeight="1">
      <c r="I196" s="67"/>
    </row>
    <row r="197" ht="14.25" customHeight="1">
      <c r="I197" s="67"/>
    </row>
    <row r="198" ht="14.25" customHeight="1">
      <c r="I198" s="67"/>
    </row>
    <row r="199" ht="14.25" customHeight="1">
      <c r="I199" s="67"/>
    </row>
    <row r="200" ht="14.25" customHeight="1">
      <c r="I200" s="67"/>
    </row>
    <row r="201" ht="14.25" customHeight="1">
      <c r="I201" s="67"/>
    </row>
    <row r="202" ht="14.25" customHeight="1">
      <c r="I202" s="67"/>
    </row>
    <row r="203" ht="14.25" customHeight="1">
      <c r="I203" s="67"/>
    </row>
    <row r="204" ht="14.25" customHeight="1">
      <c r="I204" s="67"/>
    </row>
    <row r="205" ht="14.25" customHeight="1">
      <c r="I205" s="67"/>
    </row>
    <row r="206" ht="14.25" customHeight="1">
      <c r="I206" s="67"/>
    </row>
    <row r="207" ht="14.25" customHeight="1">
      <c r="I207" s="67"/>
    </row>
    <row r="208" ht="14.25" customHeight="1">
      <c r="I208" s="67"/>
    </row>
    <row r="209" ht="14.25" customHeight="1">
      <c r="I209" s="67"/>
    </row>
    <row r="210" ht="14.25" customHeight="1">
      <c r="I210" s="67"/>
    </row>
    <row r="211" ht="14.25" customHeight="1">
      <c r="I211" s="67"/>
    </row>
    <row r="212" ht="14.25" customHeight="1">
      <c r="I212" s="67"/>
    </row>
    <row r="213" ht="14.25" customHeight="1">
      <c r="I213" s="67"/>
    </row>
    <row r="214" ht="14.25" customHeight="1">
      <c r="I214" s="67"/>
    </row>
    <row r="215" ht="14.25" customHeight="1">
      <c r="I215" s="67"/>
    </row>
    <row r="216" ht="14.25" customHeight="1">
      <c r="I216" s="67"/>
    </row>
    <row r="217" ht="14.25" customHeight="1">
      <c r="I217" s="67"/>
    </row>
    <row r="218" ht="14.25" customHeight="1">
      <c r="I218" s="67"/>
    </row>
    <row r="219" ht="14.25" customHeight="1">
      <c r="I219" s="67"/>
    </row>
    <row r="220" ht="14.25" customHeight="1">
      <c r="I220" s="67"/>
    </row>
    <row r="221" ht="14.25" customHeight="1">
      <c r="I221" s="67"/>
    </row>
    <row r="222" ht="14.25" customHeight="1">
      <c r="I222" s="67"/>
    </row>
    <row r="223" ht="14.25" customHeight="1">
      <c r="I223" s="67"/>
    </row>
    <row r="224" ht="14.25" customHeight="1">
      <c r="I224" s="67"/>
    </row>
    <row r="225" ht="14.25" customHeight="1">
      <c r="I225" s="67"/>
    </row>
    <row r="226" ht="14.25" customHeight="1">
      <c r="I226" s="67"/>
    </row>
    <row r="227" ht="14.25" customHeight="1">
      <c r="I227" s="67"/>
    </row>
    <row r="228" ht="14.25" customHeight="1">
      <c r="I228" s="67"/>
    </row>
    <row r="229" ht="14.25" customHeight="1">
      <c r="I229" s="67"/>
    </row>
    <row r="230" ht="14.25" customHeight="1">
      <c r="I230" s="67"/>
    </row>
    <row r="231" ht="14.25" customHeight="1">
      <c r="I231" s="67"/>
    </row>
    <row r="232" ht="14.25" customHeight="1">
      <c r="I232" s="67"/>
    </row>
    <row r="233" ht="14.25" customHeight="1">
      <c r="I233" s="67"/>
    </row>
    <row r="234" ht="14.25" customHeight="1">
      <c r="I234" s="67"/>
    </row>
    <row r="235" ht="14.25" customHeight="1">
      <c r="I235" s="67"/>
    </row>
    <row r="236" ht="14.25" customHeight="1">
      <c r="I236" s="67"/>
    </row>
    <row r="237" ht="14.25" customHeight="1">
      <c r="I237" s="67"/>
    </row>
    <row r="238" ht="14.25" customHeight="1">
      <c r="I238" s="67"/>
    </row>
    <row r="239" ht="14.25" customHeight="1">
      <c r="I239" s="67"/>
    </row>
    <row r="240" ht="14.25" customHeight="1">
      <c r="I240" s="67"/>
    </row>
    <row r="241" ht="14.25" customHeight="1">
      <c r="I241" s="67"/>
    </row>
    <row r="242" ht="14.25" customHeight="1">
      <c r="I242" s="67"/>
    </row>
    <row r="243" ht="14.25" customHeight="1">
      <c r="I243" s="67"/>
    </row>
    <row r="244" ht="14.25" customHeight="1">
      <c r="I244" s="67"/>
    </row>
    <row r="245" ht="14.25" customHeight="1">
      <c r="I245" s="67"/>
    </row>
    <row r="246" ht="14.25" customHeight="1">
      <c r="I246" s="67"/>
    </row>
    <row r="247" ht="14.25" customHeight="1">
      <c r="I247" s="67"/>
    </row>
    <row r="248" ht="14.25" customHeight="1">
      <c r="I248" s="67"/>
    </row>
    <row r="249" ht="14.25" customHeight="1">
      <c r="I249" s="67"/>
    </row>
    <row r="250" ht="14.25" customHeight="1">
      <c r="I250" s="67"/>
    </row>
    <row r="251" ht="14.25" customHeight="1">
      <c r="I251" s="67"/>
    </row>
    <row r="252" ht="14.25" customHeight="1">
      <c r="I252" s="67"/>
    </row>
    <row r="253" ht="14.25" customHeight="1">
      <c r="I253" s="67"/>
    </row>
    <row r="254" ht="14.25" customHeight="1">
      <c r="I254" s="67"/>
    </row>
    <row r="255" ht="14.25" customHeight="1">
      <c r="I255" s="67"/>
    </row>
    <row r="256" ht="14.25" customHeight="1">
      <c r="I256" s="67"/>
    </row>
    <row r="257" ht="14.25" customHeight="1">
      <c r="I257" s="67"/>
    </row>
    <row r="258" ht="14.25" customHeight="1">
      <c r="I258" s="67"/>
    </row>
    <row r="259" ht="14.25" customHeight="1">
      <c r="I259" s="67"/>
    </row>
    <row r="260" ht="14.25" customHeight="1">
      <c r="I260" s="67"/>
    </row>
    <row r="261" ht="14.25" customHeight="1">
      <c r="I261" s="67"/>
    </row>
    <row r="262" ht="14.25" customHeight="1">
      <c r="I262" s="67"/>
    </row>
    <row r="263" ht="14.25" customHeight="1">
      <c r="I263" s="67"/>
    </row>
    <row r="264" ht="14.25" customHeight="1">
      <c r="I264" s="67"/>
    </row>
    <row r="265" ht="14.25" customHeight="1">
      <c r="I265" s="67"/>
    </row>
    <row r="266" ht="14.25" customHeight="1">
      <c r="I266" s="67"/>
    </row>
    <row r="267" ht="14.25" customHeight="1">
      <c r="I267" s="67"/>
    </row>
    <row r="268" ht="14.25" customHeight="1">
      <c r="I268" s="67"/>
    </row>
    <row r="269" ht="14.25" customHeight="1">
      <c r="I269" s="67"/>
    </row>
    <row r="270" ht="14.25" customHeight="1">
      <c r="I270" s="67"/>
    </row>
    <row r="271" ht="14.25" customHeight="1">
      <c r="I271" s="67"/>
    </row>
    <row r="272" ht="14.25" customHeight="1">
      <c r="I272" s="67"/>
    </row>
    <row r="273" ht="14.25" customHeight="1">
      <c r="I273" s="67"/>
    </row>
    <row r="274" ht="14.25" customHeight="1">
      <c r="I274" s="67"/>
    </row>
    <row r="275" ht="14.25" customHeight="1">
      <c r="I275" s="67"/>
    </row>
    <row r="276" ht="14.25" customHeight="1">
      <c r="I276" s="67"/>
    </row>
    <row r="277" ht="14.25" customHeight="1">
      <c r="I277" s="67"/>
    </row>
    <row r="278" ht="14.25" customHeight="1">
      <c r="I278" s="67"/>
    </row>
    <row r="279" ht="14.25" customHeight="1">
      <c r="I279" s="67"/>
    </row>
    <row r="280" ht="14.25" customHeight="1">
      <c r="I280" s="67"/>
    </row>
    <row r="281" ht="14.25" customHeight="1">
      <c r="I281" s="67"/>
    </row>
    <row r="282" ht="14.25" customHeight="1">
      <c r="I282" s="67"/>
    </row>
    <row r="283" ht="14.25" customHeight="1">
      <c r="I283" s="67"/>
    </row>
    <row r="284" ht="14.25" customHeight="1">
      <c r="I284" s="67"/>
    </row>
    <row r="285" ht="14.25" customHeight="1">
      <c r="I285" s="67"/>
    </row>
    <row r="286" ht="14.25" customHeight="1">
      <c r="I286" s="67"/>
    </row>
    <row r="287" ht="14.25" customHeight="1">
      <c r="I287" s="67"/>
    </row>
    <row r="288" ht="14.25" customHeight="1">
      <c r="I288" s="67"/>
    </row>
    <row r="289" ht="14.25" customHeight="1">
      <c r="I289" s="67"/>
    </row>
    <row r="290" ht="14.25" customHeight="1">
      <c r="I290" s="67"/>
    </row>
    <row r="291" ht="14.25" customHeight="1">
      <c r="I291" s="67"/>
    </row>
    <row r="292" ht="14.25" customHeight="1">
      <c r="I292" s="67"/>
    </row>
    <row r="293" ht="14.25" customHeight="1">
      <c r="I293" s="67"/>
    </row>
    <row r="294" ht="14.25" customHeight="1">
      <c r="I294" s="67"/>
    </row>
    <row r="295" ht="14.25" customHeight="1">
      <c r="I295" s="67"/>
    </row>
    <row r="296" ht="14.25" customHeight="1">
      <c r="I296" s="67"/>
    </row>
    <row r="297" ht="14.25" customHeight="1">
      <c r="I297" s="67"/>
    </row>
    <row r="298" ht="14.25" customHeight="1">
      <c r="I298" s="67"/>
    </row>
    <row r="299" ht="14.25" customHeight="1">
      <c r="I299" s="67"/>
    </row>
    <row r="300" ht="14.25" customHeight="1">
      <c r="I300" s="67"/>
    </row>
    <row r="301" ht="14.25" customHeight="1">
      <c r="I301" s="67"/>
    </row>
    <row r="302" ht="14.25" customHeight="1">
      <c r="I302" s="67"/>
    </row>
    <row r="303" ht="14.25" customHeight="1">
      <c r="I303" s="67"/>
    </row>
    <row r="304" ht="14.25" customHeight="1">
      <c r="I304" s="67"/>
    </row>
    <row r="305" ht="14.25" customHeight="1">
      <c r="I305" s="67"/>
    </row>
    <row r="306" ht="14.25" customHeight="1">
      <c r="I306" s="67"/>
    </row>
    <row r="307" ht="14.25" customHeight="1">
      <c r="I307" s="67"/>
    </row>
    <row r="308" ht="14.25" customHeight="1">
      <c r="I308" s="67"/>
    </row>
    <row r="309" ht="14.25" customHeight="1">
      <c r="I309" s="67"/>
    </row>
    <row r="310" ht="14.25" customHeight="1">
      <c r="I310" s="67"/>
    </row>
    <row r="311" ht="14.25" customHeight="1">
      <c r="I311" s="67"/>
    </row>
    <row r="312" ht="14.25" customHeight="1">
      <c r="I312" s="67"/>
    </row>
    <row r="313" ht="14.25" customHeight="1">
      <c r="I313" s="67"/>
    </row>
    <row r="314" ht="14.25" customHeight="1">
      <c r="I314" s="67"/>
    </row>
    <row r="315" ht="14.25" customHeight="1">
      <c r="I315" s="67"/>
    </row>
    <row r="316" ht="14.25" customHeight="1">
      <c r="I316" s="67"/>
    </row>
    <row r="317" ht="14.25" customHeight="1">
      <c r="I317" s="67"/>
    </row>
    <row r="318" ht="14.25" customHeight="1">
      <c r="I318" s="67"/>
    </row>
    <row r="319" ht="14.25" customHeight="1">
      <c r="I319" s="67"/>
    </row>
    <row r="320" ht="14.25" customHeight="1">
      <c r="I320" s="67"/>
    </row>
    <row r="321" ht="14.25" customHeight="1">
      <c r="I321" s="67"/>
    </row>
    <row r="322" ht="14.25" customHeight="1">
      <c r="I322" s="67"/>
    </row>
    <row r="323" ht="14.25" customHeight="1">
      <c r="I323" s="67"/>
    </row>
    <row r="324" ht="14.25" customHeight="1">
      <c r="I324" s="67"/>
    </row>
    <row r="325" ht="14.25" customHeight="1">
      <c r="I325" s="67"/>
    </row>
    <row r="326" ht="14.25" customHeight="1">
      <c r="I326" s="67"/>
    </row>
    <row r="327" ht="14.25" customHeight="1">
      <c r="I327" s="67"/>
    </row>
    <row r="328" ht="14.25" customHeight="1">
      <c r="I328" s="67"/>
    </row>
    <row r="329" ht="14.25" customHeight="1">
      <c r="I329" s="67"/>
    </row>
    <row r="330" ht="14.25" customHeight="1">
      <c r="I330" s="67"/>
    </row>
    <row r="331" ht="14.25" customHeight="1">
      <c r="I331" s="67"/>
    </row>
    <row r="332" ht="14.25" customHeight="1">
      <c r="I332" s="67"/>
    </row>
    <row r="333" ht="14.25" customHeight="1">
      <c r="I333" s="67"/>
    </row>
    <row r="334" ht="14.25" customHeight="1">
      <c r="I334" s="67"/>
    </row>
    <row r="335" ht="14.25" customHeight="1">
      <c r="I335" s="67"/>
    </row>
    <row r="336" ht="14.25" customHeight="1">
      <c r="I336" s="67"/>
    </row>
    <row r="337" ht="14.25" customHeight="1">
      <c r="I337" s="67"/>
    </row>
    <row r="338" ht="14.25" customHeight="1">
      <c r="I338" s="67"/>
    </row>
    <row r="339" ht="14.25" customHeight="1">
      <c r="I339" s="67"/>
    </row>
    <row r="340" ht="14.25" customHeight="1">
      <c r="I340" s="67"/>
    </row>
    <row r="341" ht="14.25" customHeight="1">
      <c r="I341" s="67"/>
    </row>
    <row r="342" ht="14.25" customHeight="1">
      <c r="I342" s="67"/>
    </row>
    <row r="343" ht="14.25" customHeight="1">
      <c r="I343" s="67"/>
    </row>
    <row r="344" ht="14.25" customHeight="1">
      <c r="I344" s="67"/>
    </row>
    <row r="345" ht="14.25" customHeight="1">
      <c r="I345" s="67"/>
    </row>
    <row r="346" ht="14.25" customHeight="1">
      <c r="I346" s="67"/>
    </row>
    <row r="347" ht="14.25" customHeight="1">
      <c r="I347" s="67"/>
    </row>
    <row r="348" ht="14.25" customHeight="1">
      <c r="I348" s="67"/>
    </row>
    <row r="349" ht="14.25" customHeight="1">
      <c r="I349" s="67"/>
    </row>
    <row r="350" ht="14.25" customHeight="1">
      <c r="I350" s="67"/>
    </row>
    <row r="351" ht="14.25" customHeight="1">
      <c r="I351" s="67"/>
    </row>
    <row r="352" ht="14.25" customHeight="1">
      <c r="I352" s="67"/>
    </row>
    <row r="353" ht="14.25" customHeight="1">
      <c r="I353" s="67"/>
    </row>
    <row r="354" ht="14.25" customHeight="1">
      <c r="I354" s="67"/>
    </row>
    <row r="355" ht="14.25" customHeight="1">
      <c r="I355" s="67"/>
    </row>
    <row r="356" ht="14.25" customHeight="1">
      <c r="I356" s="67"/>
    </row>
    <row r="357" ht="14.25" customHeight="1">
      <c r="I357" s="67"/>
    </row>
    <row r="358" ht="14.25" customHeight="1">
      <c r="I358" s="67"/>
    </row>
    <row r="359" ht="14.25" customHeight="1">
      <c r="I359" s="67"/>
    </row>
    <row r="360" ht="14.25" customHeight="1">
      <c r="I360" s="67"/>
    </row>
    <row r="361" ht="14.25" customHeight="1">
      <c r="I361" s="67"/>
    </row>
    <row r="362" ht="14.25" customHeight="1">
      <c r="I362" s="67"/>
    </row>
    <row r="363" ht="14.25" customHeight="1">
      <c r="I363" s="67"/>
    </row>
    <row r="364" ht="14.25" customHeight="1">
      <c r="I364" s="67"/>
    </row>
    <row r="365" ht="14.25" customHeight="1">
      <c r="I365" s="67"/>
    </row>
    <row r="366" ht="14.25" customHeight="1">
      <c r="I366" s="67"/>
    </row>
    <row r="367" ht="14.25" customHeight="1">
      <c r="I367" s="67"/>
    </row>
    <row r="368" ht="14.25" customHeight="1">
      <c r="I368" s="67"/>
    </row>
    <row r="369" ht="14.25" customHeight="1">
      <c r="I369" s="67"/>
    </row>
    <row r="370" ht="14.25" customHeight="1">
      <c r="I370" s="67"/>
    </row>
    <row r="371" ht="14.25" customHeight="1">
      <c r="I371" s="67"/>
    </row>
    <row r="372" ht="14.25" customHeight="1">
      <c r="I372" s="67"/>
    </row>
    <row r="373" ht="14.25" customHeight="1">
      <c r="I373" s="67"/>
    </row>
    <row r="374" ht="14.25" customHeight="1">
      <c r="I374" s="67"/>
    </row>
    <row r="375" ht="14.25" customHeight="1">
      <c r="I375" s="67"/>
    </row>
    <row r="376" ht="14.25" customHeight="1">
      <c r="I376" s="67"/>
    </row>
    <row r="377" ht="14.25" customHeight="1">
      <c r="I377" s="67"/>
    </row>
    <row r="378" ht="14.25" customHeight="1">
      <c r="I378" s="67"/>
    </row>
    <row r="379" ht="14.25" customHeight="1">
      <c r="I379" s="67"/>
    </row>
    <row r="380" ht="14.25" customHeight="1">
      <c r="I380" s="67"/>
    </row>
    <row r="381" ht="14.25" customHeight="1">
      <c r="I381" s="67"/>
    </row>
    <row r="382" ht="14.25" customHeight="1">
      <c r="I382" s="67"/>
    </row>
    <row r="383" ht="14.25" customHeight="1">
      <c r="I383" s="67"/>
    </row>
    <row r="384" ht="14.25" customHeight="1">
      <c r="I384" s="67"/>
    </row>
    <row r="385" ht="14.25" customHeight="1">
      <c r="I385" s="67"/>
    </row>
    <row r="386" ht="14.25" customHeight="1">
      <c r="I386" s="67"/>
    </row>
    <row r="387" ht="14.25" customHeight="1">
      <c r="I387" s="67"/>
    </row>
    <row r="388" ht="14.25" customHeight="1">
      <c r="I388" s="67"/>
    </row>
    <row r="389" ht="14.25" customHeight="1">
      <c r="I389" s="67"/>
    </row>
    <row r="390" ht="14.25" customHeight="1">
      <c r="I390" s="67"/>
    </row>
    <row r="391" ht="14.25" customHeight="1">
      <c r="I391" s="67"/>
    </row>
    <row r="392" ht="14.25" customHeight="1">
      <c r="I392" s="67"/>
    </row>
    <row r="393" ht="14.25" customHeight="1">
      <c r="I393" s="67"/>
    </row>
    <row r="394" ht="14.25" customHeight="1">
      <c r="I394" s="67"/>
    </row>
    <row r="395" ht="14.25" customHeight="1">
      <c r="I395" s="67"/>
    </row>
    <row r="396" ht="14.25" customHeight="1">
      <c r="I396" s="67"/>
    </row>
    <row r="397" ht="14.25" customHeight="1">
      <c r="I397" s="67"/>
    </row>
    <row r="398" ht="14.25" customHeight="1">
      <c r="I398" s="67"/>
    </row>
    <row r="399" ht="14.25" customHeight="1">
      <c r="I399" s="67"/>
    </row>
    <row r="400" ht="14.25" customHeight="1">
      <c r="I400" s="67"/>
    </row>
    <row r="401" ht="14.25" customHeight="1">
      <c r="I401" s="67"/>
    </row>
    <row r="402" ht="14.25" customHeight="1">
      <c r="I402" s="67"/>
    </row>
    <row r="403" ht="14.25" customHeight="1">
      <c r="I403" s="67"/>
    </row>
    <row r="404" ht="14.25" customHeight="1">
      <c r="I404" s="67"/>
    </row>
    <row r="405" ht="14.25" customHeight="1">
      <c r="I405" s="67"/>
    </row>
    <row r="406" ht="14.25" customHeight="1">
      <c r="I406" s="67"/>
    </row>
    <row r="407" ht="14.25" customHeight="1">
      <c r="I407" s="67"/>
    </row>
    <row r="408" ht="14.25" customHeight="1">
      <c r="I408" s="67"/>
    </row>
    <row r="409" ht="14.25" customHeight="1">
      <c r="I409" s="67"/>
    </row>
    <row r="410" ht="14.25" customHeight="1">
      <c r="I410" s="67"/>
    </row>
    <row r="411" ht="14.25" customHeight="1">
      <c r="I411" s="67"/>
    </row>
    <row r="412" ht="14.25" customHeight="1">
      <c r="I412" s="67"/>
    </row>
    <row r="413" ht="14.25" customHeight="1">
      <c r="I413" s="67"/>
    </row>
    <row r="414" ht="14.25" customHeight="1">
      <c r="I414" s="67"/>
    </row>
    <row r="415" ht="14.25" customHeight="1">
      <c r="I415" s="67"/>
    </row>
    <row r="416" ht="14.25" customHeight="1">
      <c r="I416" s="67"/>
    </row>
    <row r="417" ht="14.25" customHeight="1">
      <c r="I417" s="67"/>
    </row>
    <row r="418" ht="14.25" customHeight="1">
      <c r="I418" s="67"/>
    </row>
    <row r="419" ht="14.25" customHeight="1">
      <c r="I419" s="67"/>
    </row>
    <row r="420" ht="14.25" customHeight="1">
      <c r="I420" s="67"/>
    </row>
    <row r="421" ht="14.25" customHeight="1">
      <c r="I421" s="67"/>
    </row>
    <row r="422" ht="14.25" customHeight="1">
      <c r="I422" s="67"/>
    </row>
    <row r="423" ht="14.25" customHeight="1">
      <c r="I423" s="67"/>
    </row>
    <row r="424" ht="14.25" customHeight="1">
      <c r="I424" s="67"/>
    </row>
    <row r="425" ht="14.25" customHeight="1">
      <c r="I425" s="67"/>
    </row>
    <row r="426" ht="14.25" customHeight="1">
      <c r="I426" s="67"/>
    </row>
    <row r="427" ht="14.25" customHeight="1">
      <c r="I427" s="67"/>
    </row>
    <row r="428" ht="14.25" customHeight="1">
      <c r="I428" s="67"/>
    </row>
    <row r="429" ht="14.25" customHeight="1">
      <c r="I429" s="67"/>
    </row>
    <row r="430" ht="14.25" customHeight="1">
      <c r="I430" s="67"/>
    </row>
    <row r="431" ht="14.25" customHeight="1">
      <c r="I431" s="67"/>
    </row>
    <row r="432" ht="14.25" customHeight="1">
      <c r="I432" s="67"/>
    </row>
    <row r="433" ht="14.25" customHeight="1">
      <c r="I433" s="67"/>
    </row>
    <row r="434" ht="14.25" customHeight="1">
      <c r="I434" s="67"/>
    </row>
    <row r="435" ht="14.25" customHeight="1">
      <c r="I435" s="67"/>
    </row>
    <row r="436" ht="14.25" customHeight="1">
      <c r="I436" s="67"/>
    </row>
    <row r="437" ht="14.25" customHeight="1">
      <c r="I437" s="67"/>
    </row>
    <row r="438" ht="14.25" customHeight="1">
      <c r="I438" s="67"/>
    </row>
    <row r="439" ht="14.25" customHeight="1">
      <c r="I439" s="67"/>
    </row>
    <row r="440" ht="14.25" customHeight="1">
      <c r="I440" s="67"/>
    </row>
    <row r="441" ht="14.25" customHeight="1">
      <c r="I441" s="67"/>
    </row>
    <row r="442" ht="14.25" customHeight="1">
      <c r="I442" s="67"/>
    </row>
    <row r="443" ht="14.25" customHeight="1">
      <c r="I443" s="67"/>
    </row>
    <row r="444" ht="14.25" customHeight="1">
      <c r="I444" s="67"/>
    </row>
    <row r="445" ht="14.25" customHeight="1">
      <c r="I445" s="67"/>
    </row>
    <row r="446" ht="14.25" customHeight="1">
      <c r="I446" s="67"/>
    </row>
    <row r="447" ht="14.25" customHeight="1">
      <c r="I447" s="67"/>
    </row>
    <row r="448" ht="14.25" customHeight="1">
      <c r="I448" s="67"/>
    </row>
    <row r="449" ht="14.25" customHeight="1">
      <c r="I449" s="67"/>
    </row>
    <row r="450" ht="14.25" customHeight="1">
      <c r="I450" s="67"/>
    </row>
    <row r="451" ht="14.25" customHeight="1">
      <c r="I451" s="67"/>
    </row>
    <row r="452" ht="14.25" customHeight="1">
      <c r="I452" s="67"/>
    </row>
    <row r="453" ht="14.25" customHeight="1">
      <c r="I453" s="67"/>
    </row>
    <row r="454" ht="14.25" customHeight="1">
      <c r="I454" s="67"/>
    </row>
    <row r="455" ht="14.25" customHeight="1">
      <c r="I455" s="67"/>
    </row>
    <row r="456" ht="14.25" customHeight="1">
      <c r="I456" s="67"/>
    </row>
    <row r="457" ht="14.25" customHeight="1">
      <c r="I457" s="67"/>
    </row>
    <row r="458" ht="14.25" customHeight="1">
      <c r="I458" s="67"/>
    </row>
    <row r="459" ht="14.25" customHeight="1">
      <c r="I459" s="67"/>
    </row>
    <row r="460" ht="14.25" customHeight="1">
      <c r="I460" s="67"/>
    </row>
    <row r="461" ht="14.25" customHeight="1">
      <c r="I461" s="67"/>
    </row>
    <row r="462" ht="14.25" customHeight="1">
      <c r="I462" s="67"/>
    </row>
    <row r="463" ht="14.25" customHeight="1">
      <c r="I463" s="67"/>
    </row>
    <row r="464" ht="14.25" customHeight="1">
      <c r="I464" s="67"/>
    </row>
    <row r="465" ht="14.25" customHeight="1">
      <c r="I465" s="67"/>
    </row>
    <row r="466" ht="14.25" customHeight="1">
      <c r="I466" s="67"/>
    </row>
    <row r="467" ht="14.25" customHeight="1">
      <c r="I467" s="67"/>
    </row>
    <row r="468" ht="14.25" customHeight="1">
      <c r="I468" s="67"/>
    </row>
    <row r="469" ht="14.25" customHeight="1">
      <c r="I469" s="67"/>
    </row>
    <row r="470" ht="14.25" customHeight="1">
      <c r="I470" s="67"/>
    </row>
    <row r="471" ht="14.25" customHeight="1">
      <c r="I471" s="67"/>
    </row>
    <row r="472" ht="14.25" customHeight="1">
      <c r="I472" s="67"/>
    </row>
    <row r="473" ht="14.25" customHeight="1">
      <c r="I473" s="67"/>
    </row>
    <row r="474" ht="14.25" customHeight="1">
      <c r="I474" s="67"/>
    </row>
    <row r="475" ht="14.25" customHeight="1">
      <c r="I475" s="67"/>
    </row>
    <row r="476" ht="14.25" customHeight="1">
      <c r="I476" s="67"/>
    </row>
    <row r="477" ht="14.25" customHeight="1">
      <c r="I477" s="67"/>
    </row>
    <row r="478" ht="14.25" customHeight="1">
      <c r="I478" s="67"/>
    </row>
    <row r="479" ht="14.25" customHeight="1">
      <c r="I479" s="67"/>
    </row>
    <row r="480" ht="14.25" customHeight="1">
      <c r="I480" s="67"/>
    </row>
    <row r="481" ht="14.25" customHeight="1">
      <c r="I481" s="67"/>
    </row>
    <row r="482" ht="14.25" customHeight="1">
      <c r="I482" s="67"/>
    </row>
    <row r="483" ht="14.25" customHeight="1">
      <c r="I483" s="67"/>
    </row>
    <row r="484" ht="14.25" customHeight="1">
      <c r="I484" s="67"/>
    </row>
    <row r="485" ht="14.25" customHeight="1">
      <c r="I485" s="67"/>
    </row>
    <row r="486" ht="14.25" customHeight="1">
      <c r="I486" s="67"/>
    </row>
    <row r="487" ht="14.25" customHeight="1">
      <c r="I487" s="67"/>
    </row>
    <row r="488" ht="14.25" customHeight="1">
      <c r="I488" s="67"/>
    </row>
    <row r="489" ht="14.25" customHeight="1">
      <c r="I489" s="67"/>
    </row>
    <row r="490" ht="14.25" customHeight="1">
      <c r="I490" s="67"/>
    </row>
    <row r="491" ht="14.25" customHeight="1">
      <c r="I491" s="67"/>
    </row>
    <row r="492" ht="14.25" customHeight="1">
      <c r="I492" s="67"/>
    </row>
    <row r="493" ht="14.25" customHeight="1">
      <c r="I493" s="67"/>
    </row>
    <row r="494" ht="14.25" customHeight="1">
      <c r="I494" s="67"/>
    </row>
    <row r="495" ht="14.25" customHeight="1">
      <c r="I495" s="67"/>
    </row>
    <row r="496" ht="14.25" customHeight="1">
      <c r="I496" s="67"/>
    </row>
    <row r="497" ht="14.25" customHeight="1">
      <c r="I497" s="67"/>
    </row>
    <row r="498" ht="14.25" customHeight="1">
      <c r="I498" s="67"/>
    </row>
    <row r="499" ht="14.25" customHeight="1">
      <c r="I499" s="67"/>
    </row>
    <row r="500" ht="14.25" customHeight="1">
      <c r="I500" s="67"/>
    </row>
    <row r="501" ht="14.25" customHeight="1">
      <c r="I501" s="67"/>
    </row>
    <row r="502" ht="14.25" customHeight="1">
      <c r="I502" s="67"/>
    </row>
    <row r="503" ht="14.25" customHeight="1">
      <c r="I503" s="67"/>
    </row>
    <row r="504" ht="14.25" customHeight="1">
      <c r="I504" s="67"/>
    </row>
    <row r="505" ht="14.25" customHeight="1">
      <c r="I505" s="67"/>
    </row>
    <row r="506" ht="14.25" customHeight="1">
      <c r="I506" s="67"/>
    </row>
    <row r="507" ht="14.25" customHeight="1">
      <c r="I507" s="67"/>
    </row>
    <row r="508" ht="14.25" customHeight="1">
      <c r="I508" s="67"/>
    </row>
    <row r="509" ht="14.25" customHeight="1">
      <c r="I509" s="67"/>
    </row>
    <row r="510" ht="14.25" customHeight="1">
      <c r="I510" s="67"/>
    </row>
    <row r="511" ht="14.25" customHeight="1">
      <c r="I511" s="67"/>
    </row>
    <row r="512" ht="14.25" customHeight="1">
      <c r="I512" s="67"/>
    </row>
    <row r="513" ht="14.25" customHeight="1">
      <c r="I513" s="67"/>
    </row>
    <row r="514" ht="14.25" customHeight="1">
      <c r="I514" s="67"/>
    </row>
    <row r="515" ht="14.25" customHeight="1">
      <c r="I515" s="67"/>
    </row>
    <row r="516" ht="14.25" customHeight="1">
      <c r="I516" s="67"/>
    </row>
    <row r="517" ht="14.25" customHeight="1">
      <c r="I517" s="67"/>
    </row>
    <row r="518" ht="14.25" customHeight="1">
      <c r="I518" s="67"/>
    </row>
    <row r="519" ht="14.25" customHeight="1">
      <c r="I519" s="67"/>
    </row>
    <row r="520" ht="14.25" customHeight="1">
      <c r="I520" s="67"/>
    </row>
    <row r="521" ht="14.25" customHeight="1">
      <c r="I521" s="67"/>
    </row>
    <row r="522" ht="14.25" customHeight="1">
      <c r="I522" s="67"/>
    </row>
    <row r="523" ht="14.25" customHeight="1">
      <c r="I523" s="67"/>
    </row>
    <row r="524" ht="14.25" customHeight="1">
      <c r="I524" s="67"/>
    </row>
    <row r="525" ht="14.25" customHeight="1">
      <c r="I525" s="67"/>
    </row>
    <row r="526" ht="14.25" customHeight="1">
      <c r="I526" s="67"/>
    </row>
    <row r="527" ht="14.25" customHeight="1">
      <c r="I527" s="67"/>
    </row>
    <row r="528" ht="14.25" customHeight="1">
      <c r="I528" s="67"/>
    </row>
    <row r="529" ht="14.25" customHeight="1">
      <c r="I529" s="67"/>
    </row>
    <row r="530" ht="14.25" customHeight="1">
      <c r="I530" s="67"/>
    </row>
    <row r="531" ht="14.25" customHeight="1">
      <c r="I531" s="67"/>
    </row>
    <row r="532" ht="14.25" customHeight="1">
      <c r="I532" s="67"/>
    </row>
    <row r="533" ht="14.25" customHeight="1">
      <c r="I533" s="67"/>
    </row>
    <row r="534" ht="14.25" customHeight="1">
      <c r="I534" s="67"/>
    </row>
    <row r="535" ht="14.25" customHeight="1">
      <c r="I535" s="67"/>
    </row>
    <row r="536" ht="14.25" customHeight="1">
      <c r="I536" s="67"/>
    </row>
    <row r="537" ht="14.25" customHeight="1">
      <c r="I537" s="67"/>
    </row>
    <row r="538" ht="14.25" customHeight="1">
      <c r="I538" s="67"/>
    </row>
    <row r="539" ht="14.25" customHeight="1">
      <c r="I539" s="67"/>
    </row>
    <row r="540" ht="14.25" customHeight="1">
      <c r="I540" s="67"/>
    </row>
    <row r="541" ht="14.25" customHeight="1">
      <c r="I541" s="67"/>
    </row>
    <row r="542" ht="14.25" customHeight="1">
      <c r="I542" s="67"/>
    </row>
    <row r="543" ht="14.25" customHeight="1">
      <c r="I543" s="67"/>
    </row>
    <row r="544" ht="14.25" customHeight="1">
      <c r="I544" s="67"/>
    </row>
    <row r="545" ht="14.25" customHeight="1">
      <c r="I545" s="67"/>
    </row>
    <row r="546" ht="14.25" customHeight="1">
      <c r="I546" s="67"/>
    </row>
    <row r="547" ht="14.25" customHeight="1">
      <c r="I547" s="67"/>
    </row>
    <row r="548" ht="14.25" customHeight="1">
      <c r="I548" s="67"/>
    </row>
    <row r="549" ht="14.25" customHeight="1">
      <c r="I549" s="67"/>
    </row>
    <row r="550" ht="14.25" customHeight="1">
      <c r="I550" s="67"/>
    </row>
    <row r="551" ht="14.25" customHeight="1">
      <c r="I551" s="67"/>
    </row>
    <row r="552" ht="14.25" customHeight="1">
      <c r="I552" s="67"/>
    </row>
    <row r="553" ht="14.25" customHeight="1">
      <c r="I553" s="67"/>
    </row>
    <row r="554" ht="14.25" customHeight="1">
      <c r="I554" s="67"/>
    </row>
    <row r="555" ht="14.25" customHeight="1">
      <c r="I555" s="67"/>
    </row>
    <row r="556" ht="14.25" customHeight="1">
      <c r="I556" s="67"/>
    </row>
    <row r="557" ht="14.25" customHeight="1">
      <c r="I557" s="67"/>
    </row>
    <row r="558" ht="14.25" customHeight="1">
      <c r="I558" s="67"/>
    </row>
    <row r="559" ht="14.25" customHeight="1">
      <c r="I559" s="67"/>
    </row>
    <row r="560" ht="14.25" customHeight="1">
      <c r="I560" s="67"/>
    </row>
    <row r="561" ht="14.25" customHeight="1">
      <c r="I561" s="67"/>
    </row>
    <row r="562" ht="14.25" customHeight="1">
      <c r="I562" s="67"/>
    </row>
    <row r="563" ht="14.25" customHeight="1">
      <c r="I563" s="67"/>
    </row>
    <row r="564" ht="14.25" customHeight="1">
      <c r="I564" s="67"/>
    </row>
    <row r="565" ht="14.25" customHeight="1">
      <c r="I565" s="67"/>
    </row>
    <row r="566" ht="14.25" customHeight="1">
      <c r="I566" s="67"/>
    </row>
    <row r="567" ht="14.25" customHeight="1">
      <c r="I567" s="67"/>
    </row>
    <row r="568" ht="14.25" customHeight="1">
      <c r="I568" s="67"/>
    </row>
    <row r="569" ht="14.25" customHeight="1">
      <c r="I569" s="67"/>
    </row>
    <row r="570" ht="14.25" customHeight="1">
      <c r="I570" s="67"/>
    </row>
    <row r="571" ht="14.25" customHeight="1">
      <c r="I571" s="67"/>
    </row>
    <row r="572" ht="14.25" customHeight="1">
      <c r="I572" s="67"/>
    </row>
    <row r="573" ht="14.25" customHeight="1">
      <c r="I573" s="67"/>
    </row>
    <row r="574" ht="14.25" customHeight="1">
      <c r="I574" s="67"/>
    </row>
    <row r="575" ht="14.25" customHeight="1">
      <c r="I575" s="67"/>
    </row>
    <row r="576" ht="14.25" customHeight="1">
      <c r="I576" s="67"/>
    </row>
    <row r="577" ht="14.25" customHeight="1">
      <c r="I577" s="67"/>
    </row>
    <row r="578" ht="14.25" customHeight="1">
      <c r="I578" s="67"/>
    </row>
    <row r="579" ht="14.25" customHeight="1">
      <c r="I579" s="67"/>
    </row>
    <row r="580" ht="14.25" customHeight="1">
      <c r="I580" s="67"/>
    </row>
    <row r="581" ht="14.25" customHeight="1">
      <c r="I581" s="67"/>
    </row>
    <row r="582" ht="14.25" customHeight="1">
      <c r="I582" s="67"/>
    </row>
    <row r="583" ht="14.25" customHeight="1">
      <c r="I583" s="67"/>
    </row>
    <row r="584" ht="14.25" customHeight="1">
      <c r="I584" s="67"/>
    </row>
    <row r="585" ht="14.25" customHeight="1">
      <c r="I585" s="67"/>
    </row>
    <row r="586" ht="14.25" customHeight="1">
      <c r="I586" s="67"/>
    </row>
    <row r="587" ht="14.25" customHeight="1">
      <c r="I587" s="67"/>
    </row>
    <row r="588" ht="14.25" customHeight="1">
      <c r="I588" s="67"/>
    </row>
    <row r="589" ht="14.25" customHeight="1">
      <c r="I589" s="67"/>
    </row>
    <row r="590" ht="14.25" customHeight="1">
      <c r="I590" s="67"/>
    </row>
    <row r="591" ht="14.25" customHeight="1">
      <c r="I591" s="67"/>
    </row>
    <row r="592" ht="14.25" customHeight="1">
      <c r="I592" s="67"/>
    </row>
    <row r="593" ht="14.25" customHeight="1">
      <c r="I593" s="67"/>
    </row>
    <row r="594" ht="14.25" customHeight="1">
      <c r="I594" s="67"/>
    </row>
    <row r="595" ht="14.25" customHeight="1">
      <c r="I595" s="67"/>
    </row>
    <row r="596" ht="14.25" customHeight="1">
      <c r="I596" s="67"/>
    </row>
    <row r="597" ht="14.25" customHeight="1">
      <c r="I597" s="67"/>
    </row>
    <row r="598" ht="14.25" customHeight="1">
      <c r="I598" s="67"/>
    </row>
    <row r="599" ht="14.25" customHeight="1">
      <c r="I599" s="67"/>
    </row>
    <row r="600" ht="14.25" customHeight="1">
      <c r="I600" s="67"/>
    </row>
    <row r="601" ht="14.25" customHeight="1">
      <c r="I601" s="67"/>
    </row>
    <row r="602" ht="14.25" customHeight="1">
      <c r="I602" s="67"/>
    </row>
    <row r="603" ht="14.25" customHeight="1">
      <c r="I603" s="67"/>
    </row>
    <row r="604" ht="14.25" customHeight="1">
      <c r="I604" s="67"/>
    </row>
    <row r="605" ht="14.25" customHeight="1">
      <c r="I605" s="67"/>
    </row>
    <row r="606" ht="14.25" customHeight="1">
      <c r="I606" s="67"/>
    </row>
    <row r="607" ht="14.25" customHeight="1">
      <c r="I607" s="67"/>
    </row>
    <row r="608" ht="14.25" customHeight="1">
      <c r="I608" s="67"/>
    </row>
    <row r="609" ht="14.25" customHeight="1">
      <c r="I609" s="67"/>
    </row>
    <row r="610" ht="14.25" customHeight="1">
      <c r="I610" s="67"/>
    </row>
    <row r="611" ht="14.25" customHeight="1">
      <c r="I611" s="67"/>
    </row>
    <row r="612" ht="14.25" customHeight="1">
      <c r="I612" s="67"/>
    </row>
    <row r="613" ht="14.25" customHeight="1">
      <c r="I613" s="67"/>
    </row>
    <row r="614" ht="14.25" customHeight="1">
      <c r="I614" s="67"/>
    </row>
    <row r="615" ht="14.25" customHeight="1">
      <c r="I615" s="67"/>
    </row>
    <row r="616" ht="14.25" customHeight="1">
      <c r="I616" s="67"/>
    </row>
    <row r="617" ht="14.25" customHeight="1">
      <c r="I617" s="67"/>
    </row>
    <row r="618" ht="14.25" customHeight="1">
      <c r="I618" s="67"/>
    </row>
    <row r="619" ht="14.25" customHeight="1">
      <c r="I619" s="67"/>
    </row>
    <row r="620" ht="14.25" customHeight="1">
      <c r="I620" s="67"/>
    </row>
    <row r="621" ht="14.25" customHeight="1">
      <c r="I621" s="67"/>
    </row>
    <row r="622" ht="14.25" customHeight="1">
      <c r="I622" s="67"/>
    </row>
    <row r="623" ht="14.25" customHeight="1">
      <c r="I623" s="67"/>
    </row>
    <row r="624" ht="14.25" customHeight="1">
      <c r="I624" s="67"/>
    </row>
    <row r="625" ht="14.25" customHeight="1">
      <c r="I625" s="67"/>
    </row>
    <row r="626" ht="14.25" customHeight="1">
      <c r="I626" s="67"/>
    </row>
    <row r="627" ht="14.25" customHeight="1">
      <c r="I627" s="67"/>
    </row>
    <row r="628" ht="14.25" customHeight="1">
      <c r="I628" s="67"/>
    </row>
    <row r="629" ht="14.25" customHeight="1">
      <c r="I629" s="67"/>
    </row>
    <row r="630" ht="14.25" customHeight="1">
      <c r="I630" s="67"/>
    </row>
    <row r="631" ht="14.25" customHeight="1">
      <c r="I631" s="67"/>
    </row>
    <row r="632" ht="14.25" customHeight="1">
      <c r="I632" s="67"/>
    </row>
    <row r="633" ht="14.25" customHeight="1">
      <c r="I633" s="67"/>
    </row>
    <row r="634" ht="14.25" customHeight="1">
      <c r="I634" s="67"/>
    </row>
    <row r="635" ht="14.25" customHeight="1">
      <c r="I635" s="67"/>
    </row>
    <row r="636" ht="14.25" customHeight="1">
      <c r="I636" s="67"/>
    </row>
    <row r="637" ht="14.25" customHeight="1">
      <c r="I637" s="67"/>
    </row>
    <row r="638" ht="14.25" customHeight="1">
      <c r="I638" s="67"/>
    </row>
    <row r="639" ht="14.25" customHeight="1">
      <c r="I639" s="67"/>
    </row>
    <row r="640" ht="14.25" customHeight="1">
      <c r="I640" s="67"/>
    </row>
    <row r="641" ht="14.25" customHeight="1">
      <c r="I641" s="67"/>
    </row>
    <row r="642" ht="14.25" customHeight="1">
      <c r="I642" s="67"/>
    </row>
    <row r="643" ht="14.25" customHeight="1">
      <c r="I643" s="67"/>
    </row>
    <row r="644" ht="14.25" customHeight="1">
      <c r="I644" s="67"/>
    </row>
    <row r="645" ht="14.25" customHeight="1">
      <c r="I645" s="67"/>
    </row>
    <row r="646" ht="14.25" customHeight="1">
      <c r="I646" s="67"/>
    </row>
    <row r="647" ht="14.25" customHeight="1">
      <c r="I647" s="67"/>
    </row>
    <row r="648" ht="14.25" customHeight="1">
      <c r="I648" s="67"/>
    </row>
    <row r="649" ht="14.25" customHeight="1">
      <c r="I649" s="67"/>
    </row>
    <row r="650" ht="14.25" customHeight="1">
      <c r="I650" s="67"/>
    </row>
    <row r="651" ht="14.25" customHeight="1">
      <c r="I651" s="67"/>
    </row>
    <row r="652" ht="14.25" customHeight="1">
      <c r="I652" s="67"/>
    </row>
    <row r="653" ht="14.25" customHeight="1">
      <c r="I653" s="67"/>
    </row>
    <row r="654" ht="14.25" customHeight="1">
      <c r="I654" s="67"/>
    </row>
    <row r="655" ht="14.25" customHeight="1">
      <c r="I655" s="67"/>
    </row>
    <row r="656" ht="14.25" customHeight="1">
      <c r="I656" s="67"/>
    </row>
    <row r="657" ht="14.25" customHeight="1">
      <c r="I657" s="67"/>
    </row>
    <row r="658" ht="14.25" customHeight="1">
      <c r="I658" s="67"/>
    </row>
    <row r="659" ht="14.25" customHeight="1">
      <c r="I659" s="67"/>
    </row>
    <row r="660" ht="14.25" customHeight="1">
      <c r="I660" s="67"/>
    </row>
    <row r="661" ht="14.25" customHeight="1">
      <c r="I661" s="67"/>
    </row>
    <row r="662" ht="14.25" customHeight="1">
      <c r="I662" s="67"/>
    </row>
    <row r="663" ht="14.25" customHeight="1">
      <c r="I663" s="67"/>
    </row>
    <row r="664" ht="14.25" customHeight="1">
      <c r="I664" s="67"/>
    </row>
    <row r="665" ht="14.25" customHeight="1">
      <c r="I665" s="67"/>
    </row>
    <row r="666" ht="14.25" customHeight="1">
      <c r="I666" s="67"/>
    </row>
    <row r="667" ht="14.25" customHeight="1">
      <c r="I667" s="67"/>
    </row>
    <row r="668" ht="14.25" customHeight="1">
      <c r="I668" s="67"/>
    </row>
    <row r="669" ht="14.25" customHeight="1">
      <c r="I669" s="67"/>
    </row>
    <row r="670" ht="14.25" customHeight="1">
      <c r="I670" s="67"/>
    </row>
    <row r="671" ht="14.25" customHeight="1">
      <c r="I671" s="67"/>
    </row>
    <row r="672" ht="14.25" customHeight="1">
      <c r="I672" s="67"/>
    </row>
    <row r="673" ht="14.25" customHeight="1">
      <c r="I673" s="67"/>
    </row>
    <row r="674" ht="14.25" customHeight="1">
      <c r="I674" s="67"/>
    </row>
    <row r="675" ht="14.25" customHeight="1">
      <c r="I675" s="67"/>
    </row>
    <row r="676" ht="14.25" customHeight="1">
      <c r="I676" s="67"/>
    </row>
    <row r="677" ht="14.25" customHeight="1">
      <c r="I677" s="67"/>
    </row>
    <row r="678" ht="14.25" customHeight="1">
      <c r="I678" s="67"/>
    </row>
    <row r="679" ht="14.25" customHeight="1">
      <c r="I679" s="67"/>
    </row>
    <row r="680" ht="14.25" customHeight="1">
      <c r="I680" s="67"/>
    </row>
    <row r="681" ht="14.25" customHeight="1">
      <c r="I681" s="67"/>
    </row>
    <row r="682" ht="14.25" customHeight="1">
      <c r="I682" s="67"/>
    </row>
    <row r="683" ht="14.25" customHeight="1">
      <c r="I683" s="67"/>
    </row>
    <row r="684" ht="14.25" customHeight="1">
      <c r="I684" s="67"/>
    </row>
    <row r="685" ht="14.25" customHeight="1">
      <c r="I685" s="67"/>
    </row>
    <row r="686" ht="14.25" customHeight="1">
      <c r="I686" s="67"/>
    </row>
    <row r="687" ht="14.25" customHeight="1">
      <c r="I687" s="67"/>
    </row>
    <row r="688" ht="14.25" customHeight="1">
      <c r="I688" s="67"/>
    </row>
    <row r="689" ht="14.25" customHeight="1">
      <c r="I689" s="67"/>
    </row>
    <row r="690" ht="14.25" customHeight="1">
      <c r="I690" s="67"/>
    </row>
    <row r="691" ht="14.25" customHeight="1">
      <c r="I691" s="67"/>
    </row>
    <row r="692" ht="14.25" customHeight="1">
      <c r="I692" s="67"/>
    </row>
    <row r="693" ht="14.25" customHeight="1">
      <c r="I693" s="67"/>
    </row>
    <row r="694" ht="14.25" customHeight="1">
      <c r="I694" s="67"/>
    </row>
    <row r="695" ht="14.25" customHeight="1">
      <c r="I695" s="67"/>
    </row>
    <row r="696" ht="14.25" customHeight="1">
      <c r="I696" s="67"/>
    </row>
    <row r="697" ht="14.25" customHeight="1">
      <c r="I697" s="67"/>
    </row>
    <row r="698" ht="14.25" customHeight="1">
      <c r="I698" s="67"/>
    </row>
    <row r="699" ht="14.25" customHeight="1">
      <c r="I699" s="67"/>
    </row>
    <row r="700" ht="14.25" customHeight="1">
      <c r="I700" s="67"/>
    </row>
    <row r="701" ht="14.25" customHeight="1">
      <c r="I701" s="67"/>
    </row>
    <row r="702" ht="14.25" customHeight="1">
      <c r="I702" s="67"/>
    </row>
    <row r="703" ht="14.25" customHeight="1">
      <c r="I703" s="67"/>
    </row>
    <row r="704" ht="14.25" customHeight="1">
      <c r="I704" s="67"/>
    </row>
    <row r="705" ht="14.25" customHeight="1">
      <c r="I705" s="67"/>
    </row>
    <row r="706" ht="14.25" customHeight="1">
      <c r="I706" s="67"/>
    </row>
    <row r="707" ht="14.25" customHeight="1">
      <c r="I707" s="67"/>
    </row>
    <row r="708" ht="14.25" customHeight="1">
      <c r="I708" s="67"/>
    </row>
    <row r="709" ht="14.25" customHeight="1">
      <c r="I709" s="67"/>
    </row>
    <row r="710" ht="14.25" customHeight="1">
      <c r="I710" s="67"/>
    </row>
    <row r="711" ht="14.25" customHeight="1">
      <c r="I711" s="67"/>
    </row>
    <row r="712" ht="14.25" customHeight="1">
      <c r="I712" s="67"/>
    </row>
    <row r="713" ht="14.25" customHeight="1">
      <c r="I713" s="67"/>
    </row>
    <row r="714" ht="14.25" customHeight="1">
      <c r="I714" s="67"/>
    </row>
    <row r="715" ht="14.25" customHeight="1">
      <c r="I715" s="67"/>
    </row>
    <row r="716" ht="14.25" customHeight="1">
      <c r="I716" s="67"/>
    </row>
    <row r="717" ht="14.25" customHeight="1">
      <c r="I717" s="67"/>
    </row>
    <row r="718" ht="14.25" customHeight="1">
      <c r="I718" s="67"/>
    </row>
    <row r="719" ht="14.25" customHeight="1">
      <c r="I719" s="67"/>
    </row>
    <row r="720" ht="14.25" customHeight="1">
      <c r="I720" s="67"/>
    </row>
    <row r="721" ht="14.25" customHeight="1">
      <c r="I721" s="67"/>
    </row>
    <row r="722" ht="14.25" customHeight="1">
      <c r="I722" s="67"/>
    </row>
    <row r="723" ht="14.25" customHeight="1">
      <c r="I723" s="67"/>
    </row>
    <row r="724" ht="14.25" customHeight="1">
      <c r="I724" s="67"/>
    </row>
    <row r="725" ht="14.25" customHeight="1">
      <c r="I725" s="67"/>
    </row>
    <row r="726" ht="14.25" customHeight="1">
      <c r="I726" s="67"/>
    </row>
    <row r="727" ht="14.25" customHeight="1">
      <c r="I727" s="67"/>
    </row>
    <row r="728" ht="14.25" customHeight="1">
      <c r="I728" s="67"/>
    </row>
    <row r="729" ht="14.25" customHeight="1">
      <c r="I729" s="67"/>
    </row>
    <row r="730" ht="14.25" customHeight="1">
      <c r="I730" s="67"/>
    </row>
    <row r="731" ht="14.25" customHeight="1">
      <c r="I731" s="67"/>
    </row>
    <row r="732" ht="14.25" customHeight="1">
      <c r="I732" s="67"/>
    </row>
    <row r="733" ht="14.25" customHeight="1">
      <c r="I733" s="67"/>
    </row>
    <row r="734" ht="14.25" customHeight="1">
      <c r="I734" s="67"/>
    </row>
    <row r="735" ht="14.25" customHeight="1">
      <c r="I735" s="67"/>
    </row>
    <row r="736" ht="14.25" customHeight="1">
      <c r="I736" s="67"/>
    </row>
    <row r="737" ht="14.25" customHeight="1">
      <c r="I737" s="67"/>
    </row>
    <row r="738" ht="14.25" customHeight="1">
      <c r="I738" s="67"/>
    </row>
    <row r="739" ht="14.25" customHeight="1">
      <c r="I739" s="67"/>
    </row>
    <row r="740" ht="14.25" customHeight="1">
      <c r="I740" s="67"/>
    </row>
    <row r="741" ht="14.25" customHeight="1">
      <c r="I741" s="67"/>
    </row>
    <row r="742" ht="14.25" customHeight="1">
      <c r="I742" s="67"/>
    </row>
    <row r="743" ht="14.25" customHeight="1">
      <c r="I743" s="67"/>
    </row>
    <row r="744" ht="14.25" customHeight="1">
      <c r="I744" s="67"/>
    </row>
    <row r="745" ht="14.25" customHeight="1">
      <c r="I745" s="67"/>
    </row>
    <row r="746" ht="14.25" customHeight="1">
      <c r="I746" s="67"/>
    </row>
    <row r="747" ht="14.25" customHeight="1">
      <c r="I747" s="67"/>
    </row>
    <row r="748" ht="14.25" customHeight="1">
      <c r="I748" s="67"/>
    </row>
    <row r="749" ht="14.25" customHeight="1">
      <c r="I749" s="67"/>
    </row>
    <row r="750" ht="14.25" customHeight="1">
      <c r="I750" s="67"/>
    </row>
    <row r="751" ht="14.25" customHeight="1">
      <c r="I751" s="67"/>
    </row>
    <row r="752" ht="14.25" customHeight="1">
      <c r="I752" s="67"/>
    </row>
    <row r="753" ht="14.25" customHeight="1">
      <c r="I753" s="67"/>
    </row>
    <row r="754" ht="14.25" customHeight="1">
      <c r="I754" s="67"/>
    </row>
    <row r="755" ht="14.25" customHeight="1">
      <c r="I755" s="67"/>
    </row>
    <row r="756" ht="14.25" customHeight="1">
      <c r="I756" s="67"/>
    </row>
    <row r="757" ht="14.25" customHeight="1">
      <c r="I757" s="67"/>
    </row>
    <row r="758" ht="14.25" customHeight="1">
      <c r="I758" s="67"/>
    </row>
    <row r="759" ht="14.25" customHeight="1">
      <c r="I759" s="67"/>
    </row>
    <row r="760" ht="14.25" customHeight="1">
      <c r="I760" s="67"/>
    </row>
    <row r="761" ht="14.25" customHeight="1">
      <c r="I761" s="67"/>
    </row>
    <row r="762" ht="14.25" customHeight="1">
      <c r="I762" s="67"/>
    </row>
    <row r="763" ht="14.25" customHeight="1">
      <c r="I763" s="67"/>
    </row>
    <row r="764" ht="14.25" customHeight="1">
      <c r="I764" s="67"/>
    </row>
    <row r="765" ht="14.25" customHeight="1">
      <c r="I765" s="67"/>
    </row>
    <row r="766" ht="14.25" customHeight="1">
      <c r="I766" s="67"/>
    </row>
    <row r="767" ht="14.25" customHeight="1">
      <c r="I767" s="67"/>
    </row>
    <row r="768" ht="14.25" customHeight="1">
      <c r="I768" s="67"/>
    </row>
    <row r="769" ht="14.25" customHeight="1">
      <c r="I769" s="67"/>
    </row>
    <row r="770" ht="14.25" customHeight="1">
      <c r="I770" s="67"/>
    </row>
    <row r="771" ht="14.25" customHeight="1">
      <c r="I771" s="67"/>
    </row>
    <row r="772" ht="14.25" customHeight="1">
      <c r="I772" s="67"/>
    </row>
    <row r="773" ht="14.25" customHeight="1">
      <c r="I773" s="67"/>
    </row>
    <row r="774" ht="14.25" customHeight="1">
      <c r="I774" s="67"/>
    </row>
    <row r="775" ht="14.25" customHeight="1">
      <c r="I775" s="67"/>
    </row>
    <row r="776" ht="14.25" customHeight="1">
      <c r="I776" s="67"/>
    </row>
    <row r="777" ht="14.25" customHeight="1">
      <c r="I777" s="67"/>
    </row>
    <row r="778" ht="14.25" customHeight="1">
      <c r="I778" s="67"/>
    </row>
    <row r="779" ht="14.25" customHeight="1">
      <c r="I779" s="67"/>
    </row>
    <row r="780" ht="14.25" customHeight="1">
      <c r="I780" s="67"/>
    </row>
    <row r="781" ht="14.25" customHeight="1">
      <c r="I781" s="67"/>
    </row>
    <row r="782" ht="14.25" customHeight="1">
      <c r="I782" s="67"/>
    </row>
    <row r="783" ht="14.25" customHeight="1">
      <c r="I783" s="67"/>
    </row>
    <row r="784" ht="14.25" customHeight="1">
      <c r="I784" s="67"/>
    </row>
    <row r="785" ht="14.25" customHeight="1">
      <c r="I785" s="67"/>
    </row>
    <row r="786" ht="14.25" customHeight="1">
      <c r="I786" s="67"/>
    </row>
    <row r="787" ht="14.25" customHeight="1">
      <c r="I787" s="67"/>
    </row>
    <row r="788" ht="14.25" customHeight="1">
      <c r="I788" s="67"/>
    </row>
    <row r="789" ht="14.25" customHeight="1">
      <c r="I789" s="67"/>
    </row>
    <row r="790" ht="14.25" customHeight="1">
      <c r="I790" s="67"/>
    </row>
    <row r="791" ht="14.25" customHeight="1">
      <c r="I791" s="67"/>
    </row>
    <row r="792" ht="14.25" customHeight="1">
      <c r="I792" s="67"/>
    </row>
    <row r="793" ht="14.25" customHeight="1">
      <c r="I793" s="67"/>
    </row>
    <row r="794" ht="14.25" customHeight="1">
      <c r="I794" s="67"/>
    </row>
    <row r="795" ht="14.25" customHeight="1">
      <c r="I795" s="67"/>
    </row>
    <row r="796" ht="14.25" customHeight="1">
      <c r="I796" s="67"/>
    </row>
    <row r="797" ht="14.25" customHeight="1">
      <c r="I797" s="67"/>
    </row>
    <row r="798" ht="14.25" customHeight="1">
      <c r="I798" s="67"/>
    </row>
    <row r="799" ht="14.25" customHeight="1">
      <c r="I799" s="67"/>
    </row>
    <row r="800" ht="14.25" customHeight="1">
      <c r="I800" s="67"/>
    </row>
    <row r="801" ht="14.25" customHeight="1">
      <c r="I801" s="67"/>
    </row>
    <row r="802" ht="14.25" customHeight="1">
      <c r="I802" s="67"/>
    </row>
    <row r="803" ht="14.25" customHeight="1">
      <c r="I803" s="67"/>
    </row>
    <row r="804" ht="14.25" customHeight="1">
      <c r="I804" s="67"/>
    </row>
    <row r="805" ht="14.25" customHeight="1">
      <c r="I805" s="67"/>
    </row>
    <row r="806" ht="14.25" customHeight="1">
      <c r="I806" s="67"/>
    </row>
    <row r="807" ht="14.25" customHeight="1">
      <c r="I807" s="67"/>
    </row>
    <row r="808" ht="14.25" customHeight="1">
      <c r="I808" s="67"/>
    </row>
    <row r="809" ht="14.25" customHeight="1">
      <c r="I809" s="67"/>
    </row>
    <row r="810" ht="14.25" customHeight="1">
      <c r="I810" s="67"/>
    </row>
    <row r="811" ht="14.25" customHeight="1">
      <c r="I811" s="67"/>
    </row>
    <row r="812" ht="14.25" customHeight="1">
      <c r="I812" s="67"/>
    </row>
    <row r="813" ht="14.25" customHeight="1">
      <c r="I813" s="67"/>
    </row>
    <row r="814" ht="14.25" customHeight="1">
      <c r="I814" s="67"/>
    </row>
    <row r="815" ht="14.25" customHeight="1">
      <c r="I815" s="67"/>
    </row>
    <row r="816" ht="14.25" customHeight="1">
      <c r="I816" s="67"/>
    </row>
    <row r="817" ht="14.25" customHeight="1">
      <c r="I817" s="67"/>
    </row>
    <row r="818" ht="14.25" customHeight="1">
      <c r="I818" s="67"/>
    </row>
    <row r="819" ht="14.25" customHeight="1">
      <c r="I819" s="67"/>
    </row>
    <row r="820" ht="14.25" customHeight="1">
      <c r="I820" s="67"/>
    </row>
    <row r="821" ht="14.25" customHeight="1">
      <c r="I821" s="67"/>
    </row>
    <row r="822" ht="14.25" customHeight="1">
      <c r="I822" s="67"/>
    </row>
    <row r="823" ht="14.25" customHeight="1">
      <c r="I823" s="67"/>
    </row>
    <row r="824" ht="14.25" customHeight="1">
      <c r="I824" s="67"/>
    </row>
    <row r="825" ht="14.25" customHeight="1">
      <c r="I825" s="67"/>
    </row>
    <row r="826" ht="14.25" customHeight="1">
      <c r="I826" s="67"/>
    </row>
    <row r="827" ht="14.25" customHeight="1">
      <c r="I827" s="67"/>
    </row>
    <row r="828" ht="14.25" customHeight="1">
      <c r="I828" s="67"/>
    </row>
    <row r="829" ht="14.25" customHeight="1">
      <c r="I829" s="67"/>
    </row>
    <row r="830" ht="14.25" customHeight="1">
      <c r="I830" s="67"/>
    </row>
    <row r="831" ht="14.25" customHeight="1">
      <c r="I831" s="67"/>
    </row>
    <row r="832" ht="14.25" customHeight="1">
      <c r="I832" s="67"/>
    </row>
    <row r="833" ht="14.25" customHeight="1">
      <c r="I833" s="67"/>
    </row>
    <row r="834" ht="14.25" customHeight="1">
      <c r="I834" s="67"/>
    </row>
    <row r="835" ht="14.25" customHeight="1">
      <c r="I835" s="67"/>
    </row>
    <row r="836" ht="14.25" customHeight="1">
      <c r="I836" s="67"/>
    </row>
    <row r="837" ht="14.25" customHeight="1">
      <c r="I837" s="67"/>
    </row>
    <row r="838" ht="14.25" customHeight="1">
      <c r="I838" s="67"/>
    </row>
    <row r="839" ht="14.25" customHeight="1">
      <c r="I839" s="67"/>
    </row>
    <row r="840" ht="14.25" customHeight="1">
      <c r="I840" s="67"/>
    </row>
    <row r="841" ht="14.25" customHeight="1">
      <c r="I841" s="67"/>
    </row>
    <row r="842" ht="14.25" customHeight="1">
      <c r="I842" s="67"/>
    </row>
    <row r="843" ht="14.25" customHeight="1">
      <c r="I843" s="67"/>
    </row>
    <row r="844" ht="14.25" customHeight="1">
      <c r="I844" s="67"/>
    </row>
    <row r="845" ht="14.25" customHeight="1">
      <c r="I845" s="67"/>
    </row>
    <row r="846" ht="14.25" customHeight="1">
      <c r="I846" s="67"/>
    </row>
    <row r="847" ht="14.25" customHeight="1">
      <c r="I847" s="67"/>
    </row>
    <row r="848" ht="14.25" customHeight="1">
      <c r="I848" s="67"/>
    </row>
    <row r="849" ht="14.25" customHeight="1">
      <c r="I849" s="67"/>
    </row>
    <row r="850" ht="14.25" customHeight="1">
      <c r="I850" s="67"/>
    </row>
    <row r="851" ht="14.25" customHeight="1">
      <c r="I851" s="67"/>
    </row>
    <row r="852" ht="14.25" customHeight="1">
      <c r="I852" s="67"/>
    </row>
    <row r="853" ht="14.25" customHeight="1">
      <c r="I853" s="67"/>
    </row>
    <row r="854" ht="14.25" customHeight="1">
      <c r="I854" s="67"/>
    </row>
    <row r="855" ht="14.25" customHeight="1">
      <c r="I855" s="67"/>
    </row>
    <row r="856" ht="14.25" customHeight="1">
      <c r="I856" s="67"/>
    </row>
    <row r="857" ht="14.25" customHeight="1">
      <c r="I857" s="67"/>
    </row>
    <row r="858" ht="14.25" customHeight="1">
      <c r="I858" s="67"/>
    </row>
    <row r="859" ht="14.25" customHeight="1">
      <c r="I859" s="67"/>
    </row>
    <row r="860" ht="14.25" customHeight="1">
      <c r="I860" s="67"/>
    </row>
    <row r="861" ht="14.25" customHeight="1">
      <c r="I861" s="67"/>
    </row>
    <row r="862" ht="14.25" customHeight="1">
      <c r="I862" s="67"/>
    </row>
    <row r="863" ht="14.25" customHeight="1">
      <c r="I863" s="67"/>
    </row>
    <row r="864" ht="14.25" customHeight="1">
      <c r="I864" s="67"/>
    </row>
    <row r="865" ht="14.25" customHeight="1">
      <c r="I865" s="67"/>
    </row>
    <row r="866" ht="14.25" customHeight="1">
      <c r="I866" s="67"/>
    </row>
    <row r="867" ht="14.25" customHeight="1">
      <c r="I867" s="67"/>
    </row>
    <row r="868" ht="14.25" customHeight="1">
      <c r="I868" s="67"/>
    </row>
    <row r="869" ht="14.25" customHeight="1">
      <c r="I869" s="67"/>
    </row>
    <row r="870" ht="14.25" customHeight="1">
      <c r="I870" s="67"/>
    </row>
    <row r="871" ht="14.25" customHeight="1">
      <c r="I871" s="67"/>
    </row>
    <row r="872" ht="14.25" customHeight="1">
      <c r="I872" s="67"/>
    </row>
    <row r="873" ht="14.25" customHeight="1">
      <c r="I873" s="67"/>
    </row>
    <row r="874" ht="14.25" customHeight="1">
      <c r="I874" s="67"/>
    </row>
    <row r="875" ht="14.25" customHeight="1">
      <c r="I875" s="67"/>
    </row>
    <row r="876" ht="14.25" customHeight="1">
      <c r="I876" s="67"/>
    </row>
    <row r="877" ht="14.25" customHeight="1">
      <c r="I877" s="67"/>
    </row>
    <row r="878" ht="14.25" customHeight="1">
      <c r="I878" s="67"/>
    </row>
    <row r="879" ht="14.25" customHeight="1">
      <c r="I879" s="67"/>
    </row>
    <row r="880" ht="14.25" customHeight="1">
      <c r="I880" s="67"/>
    </row>
    <row r="881" ht="14.25" customHeight="1">
      <c r="I881" s="67"/>
    </row>
    <row r="882" ht="14.25" customHeight="1">
      <c r="I882" s="67"/>
    </row>
    <row r="883" ht="14.25" customHeight="1">
      <c r="I883" s="67"/>
    </row>
    <row r="884" ht="14.25" customHeight="1">
      <c r="I884" s="67"/>
    </row>
    <row r="885" ht="14.25" customHeight="1">
      <c r="I885" s="67"/>
    </row>
    <row r="886" ht="14.25" customHeight="1">
      <c r="I886" s="67"/>
    </row>
    <row r="887" ht="14.25" customHeight="1">
      <c r="I887" s="67"/>
    </row>
    <row r="888" ht="14.25" customHeight="1">
      <c r="I888" s="67"/>
    </row>
    <row r="889" ht="14.25" customHeight="1">
      <c r="I889" s="67"/>
    </row>
    <row r="890" ht="14.25" customHeight="1">
      <c r="I890" s="67"/>
    </row>
    <row r="891" ht="14.25" customHeight="1">
      <c r="I891" s="67"/>
    </row>
    <row r="892" ht="14.25" customHeight="1">
      <c r="I892" s="67"/>
    </row>
    <row r="893" ht="14.25" customHeight="1">
      <c r="I893" s="67"/>
    </row>
    <row r="894" ht="14.25" customHeight="1">
      <c r="I894" s="67"/>
    </row>
    <row r="895" ht="14.25" customHeight="1">
      <c r="I895" s="67"/>
    </row>
    <row r="896" ht="14.25" customHeight="1">
      <c r="I896" s="67"/>
    </row>
    <row r="897" ht="14.25" customHeight="1">
      <c r="I897" s="67"/>
    </row>
    <row r="898" ht="14.25" customHeight="1">
      <c r="I898" s="67"/>
    </row>
    <row r="899" ht="14.25" customHeight="1">
      <c r="I899" s="67"/>
    </row>
    <row r="900" ht="14.25" customHeight="1">
      <c r="I900" s="67"/>
    </row>
    <row r="901" ht="14.25" customHeight="1">
      <c r="I901" s="67"/>
    </row>
    <row r="902" ht="14.25" customHeight="1">
      <c r="I902" s="67"/>
    </row>
    <row r="903" ht="14.25" customHeight="1">
      <c r="I903" s="67"/>
    </row>
    <row r="904" ht="14.25" customHeight="1">
      <c r="I904" s="67"/>
    </row>
    <row r="905" ht="14.25" customHeight="1">
      <c r="I905" s="67"/>
    </row>
    <row r="906" ht="14.25" customHeight="1">
      <c r="I906" s="67"/>
    </row>
    <row r="907" ht="14.25" customHeight="1">
      <c r="I907" s="67"/>
    </row>
    <row r="908" ht="14.25" customHeight="1">
      <c r="I908" s="67"/>
    </row>
    <row r="909" ht="14.25" customHeight="1">
      <c r="I909" s="67"/>
    </row>
    <row r="910" ht="14.25" customHeight="1">
      <c r="I910" s="67"/>
    </row>
    <row r="911" ht="14.25" customHeight="1">
      <c r="I911" s="67"/>
    </row>
    <row r="912" ht="14.25" customHeight="1">
      <c r="I912" s="67"/>
    </row>
    <row r="913" ht="14.25" customHeight="1">
      <c r="I913" s="67"/>
    </row>
    <row r="914" ht="14.25" customHeight="1">
      <c r="I914" s="67"/>
    </row>
    <row r="915" ht="14.25" customHeight="1">
      <c r="I915" s="67"/>
    </row>
    <row r="916" ht="14.25" customHeight="1">
      <c r="I916" s="67"/>
    </row>
    <row r="917" ht="14.25" customHeight="1">
      <c r="I917" s="67"/>
    </row>
    <row r="918" ht="14.25" customHeight="1">
      <c r="I918" s="67"/>
    </row>
    <row r="919" ht="14.25" customHeight="1">
      <c r="I919" s="67"/>
    </row>
    <row r="920" ht="14.25" customHeight="1">
      <c r="I920" s="67"/>
    </row>
    <row r="921" ht="14.25" customHeight="1">
      <c r="I921" s="67"/>
    </row>
    <row r="922" ht="14.25" customHeight="1">
      <c r="I922" s="67"/>
    </row>
    <row r="923" ht="14.25" customHeight="1">
      <c r="I923" s="67"/>
    </row>
    <row r="924" ht="14.25" customHeight="1">
      <c r="I924" s="67"/>
    </row>
    <row r="925" ht="14.25" customHeight="1">
      <c r="I925" s="67"/>
    </row>
    <row r="926" ht="14.25" customHeight="1">
      <c r="I926" s="67"/>
    </row>
    <row r="927" ht="14.25" customHeight="1">
      <c r="I927" s="67"/>
    </row>
    <row r="928" ht="14.25" customHeight="1">
      <c r="I928" s="67"/>
    </row>
    <row r="929" ht="14.25" customHeight="1">
      <c r="I929" s="67"/>
    </row>
    <row r="930" ht="14.25" customHeight="1">
      <c r="I930" s="67"/>
    </row>
    <row r="931" ht="14.25" customHeight="1">
      <c r="I931" s="67"/>
    </row>
    <row r="932" ht="14.25" customHeight="1">
      <c r="I932" s="67"/>
    </row>
    <row r="933" ht="14.25" customHeight="1">
      <c r="I933" s="67"/>
    </row>
    <row r="934" ht="14.25" customHeight="1">
      <c r="I934" s="67"/>
    </row>
    <row r="935" ht="14.25" customHeight="1">
      <c r="I935" s="67"/>
    </row>
    <row r="936" ht="14.25" customHeight="1">
      <c r="I936" s="67"/>
    </row>
    <row r="937" ht="14.25" customHeight="1">
      <c r="I937" s="67"/>
    </row>
    <row r="938" ht="14.25" customHeight="1">
      <c r="I938" s="67"/>
    </row>
    <row r="939" ht="14.25" customHeight="1">
      <c r="I939" s="67"/>
    </row>
    <row r="940" ht="14.25" customHeight="1">
      <c r="I940" s="67"/>
    </row>
    <row r="941" ht="14.25" customHeight="1">
      <c r="I941" s="67"/>
    </row>
    <row r="942" ht="14.25" customHeight="1">
      <c r="I942" s="67"/>
    </row>
    <row r="943" ht="14.25" customHeight="1">
      <c r="I943" s="67"/>
    </row>
    <row r="944" ht="14.25" customHeight="1">
      <c r="I944" s="67"/>
    </row>
    <row r="945" ht="14.25" customHeight="1">
      <c r="I945" s="67"/>
    </row>
    <row r="946" ht="14.25" customHeight="1">
      <c r="I946" s="67"/>
    </row>
    <row r="947" ht="14.25" customHeight="1">
      <c r="I947" s="67"/>
    </row>
    <row r="948" ht="14.25" customHeight="1">
      <c r="I948" s="67"/>
    </row>
    <row r="949" ht="14.25" customHeight="1">
      <c r="I949" s="67"/>
    </row>
    <row r="950" ht="14.25" customHeight="1">
      <c r="I950" s="67"/>
    </row>
    <row r="951" ht="14.25" customHeight="1">
      <c r="I951" s="67"/>
    </row>
    <row r="952" ht="14.25" customHeight="1">
      <c r="I952" s="67"/>
    </row>
    <row r="953" ht="14.25" customHeight="1">
      <c r="I953" s="67"/>
    </row>
    <row r="954" ht="14.25" customHeight="1">
      <c r="I954" s="67"/>
    </row>
    <row r="955" ht="14.25" customHeight="1">
      <c r="I955" s="67"/>
    </row>
    <row r="956" ht="14.25" customHeight="1">
      <c r="I956" s="67"/>
    </row>
    <row r="957" ht="14.25" customHeight="1">
      <c r="I957" s="67"/>
    </row>
    <row r="958" ht="14.25" customHeight="1">
      <c r="I958" s="67"/>
    </row>
    <row r="959" ht="14.25" customHeight="1">
      <c r="I959" s="67"/>
    </row>
    <row r="960" ht="14.25" customHeight="1">
      <c r="I960" s="67"/>
    </row>
    <row r="961" ht="14.25" customHeight="1">
      <c r="I961" s="67"/>
    </row>
    <row r="962" ht="14.25" customHeight="1">
      <c r="I962" s="67"/>
    </row>
    <row r="963" ht="14.25" customHeight="1">
      <c r="I963" s="67"/>
    </row>
    <row r="964" ht="14.25" customHeight="1">
      <c r="I964" s="67"/>
    </row>
    <row r="965" ht="14.25" customHeight="1">
      <c r="I965" s="67"/>
    </row>
    <row r="966" ht="14.25" customHeight="1">
      <c r="I966" s="67"/>
    </row>
    <row r="967" ht="14.25" customHeight="1">
      <c r="I967" s="67"/>
    </row>
    <row r="968" ht="14.25" customHeight="1">
      <c r="I968" s="67"/>
    </row>
    <row r="969" ht="14.25" customHeight="1">
      <c r="I969" s="67"/>
    </row>
    <row r="970" ht="14.25" customHeight="1">
      <c r="I970" s="67"/>
    </row>
    <row r="971" ht="14.25" customHeight="1">
      <c r="I971" s="67"/>
    </row>
    <row r="972" ht="14.25" customHeight="1">
      <c r="I972" s="67"/>
    </row>
    <row r="973" ht="14.25" customHeight="1">
      <c r="I973" s="67"/>
    </row>
    <row r="974" ht="14.25" customHeight="1">
      <c r="I974" s="67"/>
    </row>
    <row r="975" ht="14.25" customHeight="1">
      <c r="I975" s="67"/>
    </row>
    <row r="976" ht="14.25" customHeight="1">
      <c r="I976" s="67"/>
    </row>
    <row r="977" ht="14.25" customHeight="1">
      <c r="I977" s="67"/>
    </row>
    <row r="978" ht="14.25" customHeight="1">
      <c r="I978" s="67"/>
    </row>
    <row r="979" ht="14.25" customHeight="1">
      <c r="I979" s="67"/>
    </row>
    <row r="980" ht="14.25" customHeight="1">
      <c r="I980" s="67"/>
    </row>
    <row r="981" ht="14.25" customHeight="1">
      <c r="I981" s="67"/>
    </row>
    <row r="982" ht="14.25" customHeight="1">
      <c r="I982" s="67"/>
    </row>
    <row r="983" ht="14.25" customHeight="1">
      <c r="I983" s="67"/>
    </row>
    <row r="984" ht="14.25" customHeight="1">
      <c r="I984" s="67"/>
    </row>
    <row r="985" ht="14.25" customHeight="1">
      <c r="I985" s="67"/>
    </row>
    <row r="986" ht="14.25" customHeight="1">
      <c r="I986" s="67"/>
    </row>
    <row r="987" ht="14.25" customHeight="1">
      <c r="I987" s="67"/>
    </row>
    <row r="988" ht="14.25" customHeight="1">
      <c r="I988" s="67"/>
    </row>
    <row r="989" ht="14.25" customHeight="1">
      <c r="I989" s="67"/>
    </row>
    <row r="990" ht="14.25" customHeight="1">
      <c r="I990" s="67"/>
    </row>
    <row r="991" ht="14.25" customHeight="1">
      <c r="I991" s="67"/>
    </row>
    <row r="992" ht="14.25" customHeight="1">
      <c r="I992" s="67"/>
    </row>
    <row r="993" ht="14.25" customHeight="1">
      <c r="I993" s="67"/>
    </row>
    <row r="994" ht="14.25" customHeight="1">
      <c r="I994" s="67"/>
    </row>
    <row r="995" ht="14.25" customHeight="1">
      <c r="I995" s="67"/>
    </row>
    <row r="996" ht="14.25" customHeight="1">
      <c r="I996" s="67"/>
    </row>
    <row r="997" ht="14.25" customHeight="1">
      <c r="I997" s="67"/>
    </row>
    <row r="998" ht="14.25" customHeight="1">
      <c r="I998" s="67"/>
    </row>
    <row r="999" ht="14.25" customHeight="1">
      <c r="I999" s="67"/>
    </row>
    <row r="1000" ht="14.25" customHeight="1">
      <c r="I1000" s="67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2" max="2" width="15.0"/>
    <col customWidth="1" min="3" max="3" width="14.71"/>
    <col customWidth="1" min="4" max="4" width="12.86"/>
    <col customWidth="1" min="5" max="5" width="9.57"/>
    <col customWidth="1" min="6" max="6" width="25.14"/>
    <col customWidth="1" min="7" max="7" width="26.43"/>
    <col customWidth="1" min="8" max="8" width="25.43"/>
    <col customWidth="1" min="9" max="9" width="18.0"/>
    <col customWidth="1" min="10" max="26" width="8.71"/>
  </cols>
  <sheetData>
    <row r="1" ht="14.25" customHeight="1">
      <c r="A1" s="88" t="s">
        <v>53</v>
      </c>
      <c r="B1" s="58"/>
      <c r="C1" s="32"/>
      <c r="D1" s="58"/>
      <c r="E1" s="58"/>
      <c r="F1" s="58"/>
      <c r="G1" s="58"/>
      <c r="H1" s="58"/>
      <c r="I1" s="89"/>
      <c r="J1" s="15"/>
    </row>
    <row r="2" ht="14.25" customHeight="1">
      <c r="A2" s="90"/>
      <c r="B2" s="91"/>
      <c r="C2" s="92"/>
      <c r="D2" s="93"/>
      <c r="E2" s="93"/>
      <c r="F2" s="92"/>
      <c r="G2" s="93"/>
      <c r="H2" s="93"/>
      <c r="I2" s="91"/>
      <c r="J2" s="94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ht="14.25" customHeight="1">
      <c r="A3" s="96" t="s">
        <v>1</v>
      </c>
      <c r="B3" s="8"/>
      <c r="C3" s="7"/>
      <c r="D3" s="71"/>
      <c r="E3" s="71"/>
      <c r="F3" s="7"/>
      <c r="G3" s="71"/>
      <c r="H3" s="8"/>
      <c r="I3" s="35"/>
    </row>
    <row r="4" ht="14.25" customHeight="1">
      <c r="A4" s="97" t="s">
        <v>54</v>
      </c>
      <c r="B4" s="98" t="s">
        <v>55</v>
      </c>
      <c r="C4" s="98" t="s">
        <v>56</v>
      </c>
      <c r="D4" s="98" t="s">
        <v>57</v>
      </c>
      <c r="E4" s="98" t="s">
        <v>58</v>
      </c>
      <c r="F4" s="98" t="s">
        <v>59</v>
      </c>
      <c r="G4" s="98" t="s">
        <v>60</v>
      </c>
      <c r="H4" s="98" t="s">
        <v>61</v>
      </c>
      <c r="I4" s="98" t="s">
        <v>62</v>
      </c>
      <c r="J4" s="15"/>
    </row>
    <row r="5" ht="14.25" customHeight="1">
      <c r="A5" s="99" t="s">
        <v>63</v>
      </c>
      <c r="B5" s="100" t="str">
        <f t="shared" ref="B5:B11" si="1">LEFT(A5,SEARCH(" " ,A5))</f>
        <v>Rohit </v>
      </c>
      <c r="C5" s="100" t="str">
        <f t="shared" ref="C5:C6" si="2">RIGHT(A5,E5-F5)</f>
        <v>Gupta</v>
      </c>
      <c r="D5" s="100"/>
      <c r="E5" s="100">
        <f t="shared" ref="E5:E11" si="3">LEN(A5)</f>
        <v>11</v>
      </c>
      <c r="F5" s="100">
        <f t="shared" ref="F5:F11" si="4">SEARCH(" ",A5)</f>
        <v>6</v>
      </c>
      <c r="G5" s="101">
        <f t="shared" ref="G5:G7" si="5">IFERROR(SEARCH(" ",A5,SEARCH(" ",A5)+1),0)</f>
        <v>0</v>
      </c>
      <c r="H5" s="100" t="str">
        <f t="shared" ref="H5:H11" si="6">SUBSTITUTE(A5," ","-")</f>
        <v>Rohit-Gupta</v>
      </c>
      <c r="I5" s="102">
        <f t="shared" ref="I5:I11" si="7">LEN(A5)-LEN(SUBSTITUTE(A5," ",""))</f>
        <v>1</v>
      </c>
    </row>
    <row r="6" ht="14.25" customHeight="1">
      <c r="A6" s="103" t="s">
        <v>64</v>
      </c>
      <c r="B6" s="100" t="str">
        <f t="shared" si="1"/>
        <v>Sanjeev </v>
      </c>
      <c r="C6" s="100" t="str">
        <f t="shared" si="2"/>
        <v>kumar</v>
      </c>
      <c r="D6" s="104"/>
      <c r="E6" s="100">
        <f t="shared" si="3"/>
        <v>13</v>
      </c>
      <c r="F6" s="100">
        <f t="shared" si="4"/>
        <v>8</v>
      </c>
      <c r="G6" s="101">
        <f t="shared" si="5"/>
        <v>0</v>
      </c>
      <c r="H6" s="100" t="str">
        <f t="shared" si="6"/>
        <v>Sanjeev-kumar</v>
      </c>
      <c r="I6" s="102">
        <f t="shared" si="7"/>
        <v>1</v>
      </c>
    </row>
    <row r="7" ht="14.25" customHeight="1">
      <c r="A7" s="105" t="s">
        <v>65</v>
      </c>
      <c r="B7" s="100" t="str">
        <f t="shared" si="1"/>
        <v>Rohit </v>
      </c>
      <c r="C7" s="100" t="str">
        <f t="shared" ref="C7:C11" si="8">RIGHT(A7,LEN(A7)-SEARCH(" ",A7,SEARCH(" ",A7)+1))</f>
        <v>Gupta</v>
      </c>
      <c r="D7" s="106" t="str">
        <f t="shared" ref="D7:D11" si="9">MID(A7,F7+1,G7-F7)</f>
        <v>Kumar </v>
      </c>
      <c r="E7" s="100">
        <f t="shared" si="3"/>
        <v>17</v>
      </c>
      <c r="F7" s="100">
        <f t="shared" si="4"/>
        <v>6</v>
      </c>
      <c r="G7" s="101">
        <f t="shared" si="5"/>
        <v>12</v>
      </c>
      <c r="H7" s="100" t="str">
        <f t="shared" si="6"/>
        <v>Rohit-Kumar-Gupta</v>
      </c>
      <c r="I7" s="102">
        <f t="shared" si="7"/>
        <v>2</v>
      </c>
      <c r="J7" s="15"/>
    </row>
    <row r="8" ht="14.25" customHeight="1">
      <c r="A8" s="103" t="s">
        <v>66</v>
      </c>
      <c r="B8" s="100" t="str">
        <f t="shared" si="1"/>
        <v>Naveen </v>
      </c>
      <c r="C8" s="100" t="str">
        <f t="shared" si="8"/>
        <v>Singh</v>
      </c>
      <c r="D8" s="106" t="str">
        <f t="shared" si="9"/>
        <v>Chauhan </v>
      </c>
      <c r="E8" s="100">
        <f t="shared" si="3"/>
        <v>20</v>
      </c>
      <c r="F8" s="100">
        <f t="shared" si="4"/>
        <v>7</v>
      </c>
      <c r="G8" s="107">
        <f t="shared" ref="G8:G11" si="10">SEARCH(" ",A8,SEARCH(" ",A8)+1)</f>
        <v>15</v>
      </c>
      <c r="H8" s="100" t="str">
        <f t="shared" si="6"/>
        <v>Naveen-Chauhan-Singh</v>
      </c>
      <c r="I8" s="102">
        <f t="shared" si="7"/>
        <v>2</v>
      </c>
    </row>
    <row r="9" ht="14.25" customHeight="1">
      <c r="A9" s="103" t="s">
        <v>67</v>
      </c>
      <c r="B9" s="100" t="str">
        <f t="shared" si="1"/>
        <v>Arti </v>
      </c>
      <c r="C9" s="100" t="str">
        <f t="shared" si="8"/>
        <v>Chauhan</v>
      </c>
      <c r="D9" s="106" t="str">
        <f t="shared" si="9"/>
        <v>Singh </v>
      </c>
      <c r="E9" s="100">
        <f t="shared" si="3"/>
        <v>18</v>
      </c>
      <c r="F9" s="100">
        <f t="shared" si="4"/>
        <v>5</v>
      </c>
      <c r="G9" s="107">
        <f t="shared" si="10"/>
        <v>11</v>
      </c>
      <c r="H9" s="100" t="str">
        <f t="shared" si="6"/>
        <v>Arti-Singh-Chauhan</v>
      </c>
      <c r="I9" s="102">
        <f t="shared" si="7"/>
        <v>2</v>
      </c>
    </row>
    <row r="10" ht="14.25" customHeight="1">
      <c r="A10" s="105" t="s">
        <v>68</v>
      </c>
      <c r="B10" s="100" t="str">
        <f t="shared" si="1"/>
        <v>Rohit </v>
      </c>
      <c r="C10" s="100" t="str">
        <f t="shared" si="8"/>
        <v>Man</v>
      </c>
      <c r="D10" s="106" t="str">
        <f t="shared" si="9"/>
        <v>Arora </v>
      </c>
      <c r="E10" s="100">
        <f t="shared" si="3"/>
        <v>15</v>
      </c>
      <c r="F10" s="100">
        <f t="shared" si="4"/>
        <v>6</v>
      </c>
      <c r="G10" s="107">
        <f t="shared" si="10"/>
        <v>12</v>
      </c>
      <c r="H10" s="100" t="str">
        <f t="shared" si="6"/>
        <v>Rohit-Arora-Man</v>
      </c>
      <c r="I10" s="102">
        <f t="shared" si="7"/>
        <v>2</v>
      </c>
    </row>
    <row r="11" ht="14.25" customHeight="1">
      <c r="A11" s="108" t="s">
        <v>69</v>
      </c>
      <c r="B11" s="100" t="str">
        <f t="shared" si="1"/>
        <v>Rahul </v>
      </c>
      <c r="C11" s="100" t="str">
        <f t="shared" si="8"/>
        <v>verma</v>
      </c>
      <c r="D11" s="106" t="str">
        <f t="shared" si="9"/>
        <v>badhe </v>
      </c>
      <c r="E11" s="100">
        <f t="shared" si="3"/>
        <v>17</v>
      </c>
      <c r="F11" s="100">
        <f t="shared" si="4"/>
        <v>6</v>
      </c>
      <c r="G11" s="107">
        <f t="shared" si="10"/>
        <v>12</v>
      </c>
      <c r="H11" s="100" t="str">
        <f t="shared" si="6"/>
        <v>Rahul-badhe-verma</v>
      </c>
      <c r="I11" s="102">
        <f t="shared" si="7"/>
        <v>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D19" s="109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8.71"/>
    <col customWidth="1" min="7" max="7" width="19.43"/>
    <col customWidth="1" min="8" max="26" width="8.71"/>
  </cols>
  <sheetData>
    <row r="1" ht="14.25" customHeight="1">
      <c r="A1" s="110" t="s">
        <v>70</v>
      </c>
      <c r="B1" s="49"/>
      <c r="C1" s="49"/>
      <c r="D1" s="49"/>
      <c r="E1" s="49"/>
      <c r="F1" s="49"/>
      <c r="G1" s="49"/>
      <c r="H1" s="50"/>
      <c r="I1" s="15"/>
    </row>
    <row r="2" ht="14.25" customHeight="1">
      <c r="A2" s="11"/>
      <c r="B2" s="10"/>
      <c r="C2" s="10"/>
      <c r="D2" s="10"/>
      <c r="F2" s="10"/>
    </row>
    <row r="3" ht="14.25" customHeight="1">
      <c r="A3" s="111" t="s">
        <v>71</v>
      </c>
      <c r="B3" s="112" t="s">
        <v>72</v>
      </c>
      <c r="C3" s="49"/>
      <c r="D3" s="49"/>
      <c r="E3" s="49"/>
      <c r="F3" s="49"/>
      <c r="G3" s="49"/>
      <c r="H3" s="50"/>
    </row>
    <row r="4" ht="14.25" customHeight="1">
      <c r="A4" s="113">
        <v>1.0</v>
      </c>
      <c r="B4" s="114" t="s">
        <v>73</v>
      </c>
      <c r="H4" s="115"/>
    </row>
    <row r="5" ht="14.25" customHeight="1">
      <c r="A5" s="116">
        <v>2.0</v>
      </c>
      <c r="B5" s="114" t="s">
        <v>74</v>
      </c>
      <c r="H5" s="115"/>
      <c r="I5" s="15"/>
    </row>
    <row r="6" ht="14.25" customHeight="1">
      <c r="A6" s="117">
        <v>3.0</v>
      </c>
      <c r="B6" s="118" t="s">
        <v>75</v>
      </c>
      <c r="C6" s="119"/>
      <c r="D6" s="119"/>
      <c r="E6" s="119"/>
      <c r="F6" s="119"/>
      <c r="G6" s="119"/>
      <c r="H6" s="120"/>
      <c r="I6" s="15"/>
    </row>
    <row r="7" ht="14.25" customHeight="1"/>
    <row r="8" ht="18.0" customHeight="1">
      <c r="A8" s="121" t="s">
        <v>1</v>
      </c>
      <c r="B8" s="122" t="s">
        <v>76</v>
      </c>
      <c r="C8" s="49"/>
      <c r="D8" s="123"/>
      <c r="E8" s="122" t="s">
        <v>77</v>
      </c>
      <c r="F8" s="49"/>
      <c r="G8" s="49"/>
      <c r="H8" s="50"/>
    </row>
    <row r="9" ht="14.25" customHeight="1">
      <c r="A9" s="124"/>
      <c r="B9" s="125" t="s">
        <v>78</v>
      </c>
      <c r="C9" s="126"/>
      <c r="D9" s="127"/>
      <c r="E9" s="128">
        <f t="shared" ref="E9:E11" si="1">(LEN(B4)-LEN(SUBSTITUTE(B4,B9,"")))/LEN(B9)</f>
        <v>3</v>
      </c>
      <c r="F9" s="126"/>
      <c r="G9" s="126"/>
      <c r="H9" s="127"/>
    </row>
    <row r="10" ht="14.25" customHeight="1">
      <c r="A10" s="124"/>
      <c r="B10" s="129" t="s">
        <v>79</v>
      </c>
      <c r="E10" s="128">
        <f t="shared" si="1"/>
        <v>2</v>
      </c>
      <c r="F10" s="126"/>
      <c r="G10" s="126"/>
      <c r="H10" s="127"/>
    </row>
    <row r="11" ht="14.25" customHeight="1">
      <c r="A11" s="130"/>
      <c r="B11" s="129" t="s">
        <v>80</v>
      </c>
      <c r="E11" s="128">
        <f t="shared" si="1"/>
        <v>4</v>
      </c>
      <c r="F11" s="126"/>
      <c r="G11" s="126"/>
      <c r="H11" s="127"/>
      <c r="I11" s="15"/>
    </row>
    <row r="12" ht="14.25" customHeight="1">
      <c r="B12" s="10"/>
      <c r="C12" s="10"/>
      <c r="D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8:D8"/>
    <mergeCell ref="B9:D9"/>
    <mergeCell ref="E9:H9"/>
    <mergeCell ref="B10:D10"/>
    <mergeCell ref="E10:H10"/>
    <mergeCell ref="B11:D11"/>
    <mergeCell ref="E11:H11"/>
    <mergeCell ref="A1:H1"/>
    <mergeCell ref="B3:H3"/>
    <mergeCell ref="B4:H4"/>
    <mergeCell ref="B5:H5"/>
    <mergeCell ref="B6:H6"/>
    <mergeCell ref="A8:A11"/>
    <mergeCell ref="E8:H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9" width="8.71"/>
    <col customWidth="1" min="10" max="10" width="13.71"/>
    <col customWidth="1" min="11" max="26" width="8.71"/>
  </cols>
  <sheetData>
    <row r="1" ht="21.75" customHeight="1">
      <c r="A1" s="131" t="s">
        <v>81</v>
      </c>
      <c r="B1" s="126"/>
      <c r="C1" s="126"/>
      <c r="D1" s="126"/>
      <c r="E1" s="126"/>
      <c r="F1" s="126"/>
      <c r="G1" s="126"/>
      <c r="H1" s="126"/>
      <c r="I1" s="126"/>
      <c r="J1" s="127"/>
    </row>
    <row r="2" ht="21.75" customHeight="1">
      <c r="A2" s="132"/>
      <c r="B2" s="119"/>
      <c r="C2" s="119"/>
      <c r="D2" s="119"/>
      <c r="E2" s="119"/>
      <c r="F2" s="119"/>
      <c r="G2" s="119"/>
      <c r="H2" s="119"/>
      <c r="I2" s="119"/>
      <c r="J2" s="120"/>
    </row>
    <row r="3" ht="21.75" customHeight="1">
      <c r="A3" s="133"/>
      <c r="B3" s="134"/>
      <c r="C3" s="134"/>
      <c r="D3" s="134"/>
      <c r="E3" s="135"/>
      <c r="F3" s="134"/>
      <c r="G3" s="134"/>
      <c r="H3" s="134"/>
      <c r="I3" s="134"/>
      <c r="J3" s="134"/>
      <c r="K3" s="134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21.75" customHeight="1">
      <c r="A4" s="136" t="s">
        <v>1</v>
      </c>
      <c r="B4" s="137"/>
      <c r="C4" s="137"/>
      <c r="D4" s="137"/>
      <c r="E4" s="137"/>
      <c r="F4" s="137"/>
      <c r="G4" s="137"/>
      <c r="H4" s="137"/>
      <c r="I4" s="137"/>
      <c r="J4" s="138"/>
      <c r="K4" s="139"/>
      <c r="L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14.25" customHeight="1">
      <c r="A5" s="140" t="s">
        <v>82</v>
      </c>
      <c r="B5" s="122" t="s">
        <v>76</v>
      </c>
      <c r="C5" s="49"/>
      <c r="D5" s="50"/>
      <c r="E5" s="122" t="s">
        <v>83</v>
      </c>
      <c r="F5" s="50"/>
      <c r="G5" s="122" t="s">
        <v>84</v>
      </c>
      <c r="H5" s="49"/>
      <c r="I5" s="49"/>
      <c r="J5" s="50"/>
    </row>
    <row r="6" ht="14.25" customHeight="1">
      <c r="A6" s="141">
        <v>1.0</v>
      </c>
      <c r="B6" s="142" t="s">
        <v>85</v>
      </c>
      <c r="C6" s="126"/>
      <c r="D6" s="127"/>
      <c r="E6" s="142" t="s">
        <v>86</v>
      </c>
      <c r="F6" s="127"/>
      <c r="G6" s="143" t="str">
        <f t="shared" ref="G6:G11" si="1">PROPER(IF(E6="F","Mrs.","Mr.")&amp;RIGHT(B6,LEN(B6)-SEARCH(",",B6))&amp;" "&amp;LEFT(B6,SEARCH(",",B6)-1))</f>
        <v>Mrs.Bharti Gupta</v>
      </c>
      <c r="H6" s="126"/>
      <c r="I6" s="126"/>
      <c r="J6" s="127"/>
      <c r="K6" s="15"/>
    </row>
    <row r="7" ht="14.25" customHeight="1">
      <c r="A7" s="144">
        <v>2.0</v>
      </c>
      <c r="B7" s="145" t="s">
        <v>87</v>
      </c>
      <c r="E7" s="146" t="s">
        <v>88</v>
      </c>
      <c r="F7" s="115"/>
      <c r="G7" s="143" t="str">
        <f t="shared" si="1"/>
        <v>Mr.Chandan Negi</v>
      </c>
      <c r="H7" s="126"/>
      <c r="I7" s="126"/>
      <c r="J7" s="127"/>
      <c r="K7" s="147"/>
    </row>
    <row r="8" ht="14.25" customHeight="1">
      <c r="A8" s="148">
        <v>3.0</v>
      </c>
      <c r="B8" s="146" t="s">
        <v>89</v>
      </c>
      <c r="D8" s="115"/>
      <c r="E8" s="146" t="s">
        <v>86</v>
      </c>
      <c r="F8" s="115"/>
      <c r="G8" s="143" t="str">
        <f t="shared" si="1"/>
        <v>Mrs.Neha Malhotra</v>
      </c>
      <c r="H8" s="126"/>
      <c r="I8" s="126"/>
      <c r="J8" s="127"/>
      <c r="K8" s="147"/>
    </row>
    <row r="9" ht="14.25" customHeight="1">
      <c r="A9" s="148">
        <v>4.0</v>
      </c>
      <c r="B9" s="146" t="s">
        <v>90</v>
      </c>
      <c r="D9" s="115"/>
      <c r="E9" s="146" t="s">
        <v>86</v>
      </c>
      <c r="F9" s="115"/>
      <c r="G9" s="143" t="str">
        <f t="shared" si="1"/>
        <v>Mrs.Daljeet Kaur</v>
      </c>
      <c r="H9" s="126"/>
      <c r="I9" s="126"/>
      <c r="J9" s="127"/>
      <c r="K9" s="147"/>
    </row>
    <row r="10" ht="14.25" customHeight="1">
      <c r="A10" s="148">
        <v>5.0</v>
      </c>
      <c r="B10" s="146" t="s">
        <v>91</v>
      </c>
      <c r="D10" s="115"/>
      <c r="E10" s="146" t="s">
        <v>88</v>
      </c>
      <c r="F10" s="115"/>
      <c r="G10" s="143" t="str">
        <f t="shared" si="1"/>
        <v>Mr.Virit Shukla</v>
      </c>
      <c r="H10" s="126"/>
      <c r="I10" s="126"/>
      <c r="J10" s="127"/>
      <c r="K10" s="147"/>
    </row>
    <row r="11" ht="14.25" customHeight="1">
      <c r="A11" s="148">
        <v>6.0</v>
      </c>
      <c r="B11" s="149" t="s">
        <v>92</v>
      </c>
      <c r="C11" s="119"/>
      <c r="D11" s="120"/>
      <c r="E11" s="146" t="s">
        <v>88</v>
      </c>
      <c r="F11" s="115"/>
      <c r="G11" s="143" t="str">
        <f t="shared" si="1"/>
        <v>Mr.Priyank Agarwal</v>
      </c>
      <c r="H11" s="126"/>
      <c r="I11" s="126"/>
      <c r="J11" s="127"/>
    </row>
    <row r="12" ht="14.25" customHeight="1">
      <c r="A12" s="10"/>
      <c r="E12" s="10"/>
      <c r="F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1:J2"/>
    <mergeCell ref="A4:J4"/>
    <mergeCell ref="B5:D5"/>
    <mergeCell ref="E5:F5"/>
    <mergeCell ref="G5:J5"/>
    <mergeCell ref="E6:F6"/>
    <mergeCell ref="G6:J6"/>
    <mergeCell ref="B6:D6"/>
    <mergeCell ref="B7:D7"/>
    <mergeCell ref="E7:F7"/>
    <mergeCell ref="G7:J7"/>
    <mergeCell ref="B8:D8"/>
    <mergeCell ref="E8:F8"/>
    <mergeCell ref="G8:J8"/>
    <mergeCell ref="E11:F11"/>
    <mergeCell ref="G11:J11"/>
    <mergeCell ref="B9:D9"/>
    <mergeCell ref="E9:F9"/>
    <mergeCell ref="G9:J9"/>
    <mergeCell ref="B10:D10"/>
    <mergeCell ref="E10:F10"/>
    <mergeCell ref="G10:J10"/>
    <mergeCell ref="B11:D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8.71"/>
    <col customWidth="1" min="8" max="8" width="22.71"/>
    <col customWidth="1" min="9" max="26" width="8.71"/>
  </cols>
  <sheetData>
    <row r="1" ht="14.25" customHeight="1">
      <c r="A1" s="150" t="s">
        <v>93</v>
      </c>
      <c r="B1" s="151"/>
      <c r="C1" s="151"/>
      <c r="D1" s="151"/>
      <c r="E1" s="151"/>
      <c r="F1" s="151"/>
      <c r="G1" s="151"/>
      <c r="H1" s="152"/>
    </row>
    <row r="2" ht="14.25" customHeight="1"/>
    <row r="3" ht="14.25" customHeight="1">
      <c r="A3" s="153" t="s">
        <v>1</v>
      </c>
      <c r="B3" s="137"/>
      <c r="C3" s="137"/>
      <c r="D3" s="137"/>
      <c r="E3" s="137"/>
      <c r="F3" s="137"/>
      <c r="G3" s="137"/>
      <c r="H3" s="154"/>
      <c r="I3" s="15"/>
    </row>
    <row r="4" ht="14.25" customHeight="1">
      <c r="A4" s="155" t="s">
        <v>82</v>
      </c>
      <c r="B4" s="156" t="s">
        <v>94</v>
      </c>
      <c r="C4" s="49"/>
      <c r="D4" s="49"/>
      <c r="E4" s="49"/>
      <c r="F4" s="50"/>
      <c r="G4" s="157" t="s">
        <v>95</v>
      </c>
      <c r="H4" s="138"/>
      <c r="I4" s="15"/>
    </row>
    <row r="5" ht="14.25" customHeight="1">
      <c r="A5" s="158">
        <v>1.0</v>
      </c>
      <c r="B5" s="159" t="s">
        <v>96</v>
      </c>
      <c r="C5" s="126"/>
      <c r="D5" s="126"/>
      <c r="E5" s="126"/>
      <c r="F5" s="127"/>
      <c r="G5" s="160" t="str">
        <f t="shared" ref="G5:G8" si="1">RIGHT(B5,LEN(B5)-(SEARCH("CHECKNO.",B5)+7))</f>
        <v>12345</v>
      </c>
      <c r="H5" s="138"/>
      <c r="I5" s="15"/>
    </row>
    <row r="6" ht="14.25" customHeight="1">
      <c r="A6" s="161">
        <v>2.0</v>
      </c>
      <c r="B6" s="114" t="s">
        <v>97</v>
      </c>
      <c r="F6" s="115"/>
      <c r="G6" s="160" t="str">
        <f t="shared" si="1"/>
        <v>123456</v>
      </c>
      <c r="H6" s="138"/>
      <c r="I6" s="147"/>
    </row>
    <row r="7" ht="14.25" customHeight="1">
      <c r="A7" s="161">
        <v>3.0</v>
      </c>
      <c r="B7" s="114" t="s">
        <v>98</v>
      </c>
      <c r="F7" s="115"/>
      <c r="G7" s="160" t="str">
        <f t="shared" si="1"/>
        <v>000789</v>
      </c>
      <c r="H7" s="138"/>
      <c r="I7" s="15"/>
    </row>
    <row r="8" ht="14.25" customHeight="1">
      <c r="A8" s="161">
        <v>4.0</v>
      </c>
      <c r="B8" s="118" t="s">
        <v>99</v>
      </c>
      <c r="C8" s="119"/>
      <c r="D8" s="119"/>
      <c r="E8" s="119"/>
      <c r="F8" s="120"/>
      <c r="G8" s="160" t="str">
        <f t="shared" si="1"/>
        <v>123456</v>
      </c>
      <c r="H8" s="138"/>
      <c r="I8" s="15"/>
    </row>
    <row r="9" ht="14.25" customHeight="1">
      <c r="A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6:F6"/>
    <mergeCell ref="B7:F7"/>
    <mergeCell ref="G7:H7"/>
    <mergeCell ref="B8:F8"/>
    <mergeCell ref="G8:H8"/>
    <mergeCell ref="A1:H1"/>
    <mergeCell ref="A3:H3"/>
    <mergeCell ref="B4:F4"/>
    <mergeCell ref="G4:H4"/>
    <mergeCell ref="B5:F5"/>
    <mergeCell ref="G5:H5"/>
    <mergeCell ref="G6:H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17.29"/>
    <col customWidth="1" min="3" max="6" width="14.29"/>
    <col customWidth="1" min="7" max="8" width="16.14"/>
    <col customWidth="1" min="9" max="11" width="14.29"/>
    <col customWidth="1" min="12" max="26" width="8.71"/>
  </cols>
  <sheetData>
    <row r="1" ht="14.25" customHeight="1">
      <c r="A1" s="162" t="s">
        <v>100</v>
      </c>
      <c r="B1" s="58"/>
      <c r="C1" s="58"/>
      <c r="D1" s="58"/>
      <c r="E1" s="58"/>
      <c r="F1" s="89"/>
      <c r="G1" s="58"/>
      <c r="H1" s="58"/>
      <c r="I1" s="58"/>
      <c r="J1" s="58"/>
      <c r="K1" s="89"/>
      <c r="L1" s="163"/>
      <c r="M1" s="164"/>
      <c r="N1" s="164"/>
      <c r="O1" s="164"/>
      <c r="P1" s="164"/>
      <c r="Q1" s="164"/>
      <c r="R1" s="164"/>
    </row>
    <row r="2" ht="14.25" customHeight="1">
      <c r="A2" s="92"/>
      <c r="B2" s="91"/>
      <c r="C2" s="165"/>
      <c r="D2" s="92"/>
      <c r="E2" s="92"/>
      <c r="F2" s="91"/>
      <c r="G2" s="92"/>
      <c r="H2" s="91"/>
      <c r="I2" s="92"/>
      <c r="J2" s="92"/>
      <c r="K2" s="91"/>
      <c r="L2" s="164"/>
      <c r="M2" s="164"/>
      <c r="N2" s="164"/>
      <c r="O2" s="164"/>
      <c r="P2" s="164"/>
      <c r="Q2" s="164"/>
      <c r="R2" s="164"/>
    </row>
    <row r="3" ht="14.25" customHeight="1">
      <c r="A3" s="166" t="s">
        <v>101</v>
      </c>
      <c r="B3" s="126"/>
      <c r="C3" s="126"/>
      <c r="D3" s="126"/>
      <c r="E3" s="127"/>
      <c r="F3" s="167"/>
      <c r="G3" s="168" t="s">
        <v>102</v>
      </c>
      <c r="H3" s="49"/>
      <c r="I3" s="49"/>
      <c r="J3" s="49"/>
      <c r="K3" s="50"/>
      <c r="L3" s="163"/>
      <c r="M3" s="164"/>
      <c r="N3" s="164"/>
      <c r="O3" s="164"/>
      <c r="P3" s="164"/>
      <c r="Q3" s="164"/>
      <c r="R3" s="164"/>
    </row>
    <row r="4" ht="14.25" customHeight="1">
      <c r="A4" s="132"/>
      <c r="B4" s="119"/>
      <c r="C4" s="119"/>
      <c r="D4" s="119"/>
      <c r="E4" s="120"/>
      <c r="F4" s="91"/>
      <c r="G4" s="169" t="s">
        <v>103</v>
      </c>
      <c r="H4" s="49"/>
      <c r="I4" s="50"/>
      <c r="J4" s="169" t="s">
        <v>104</v>
      </c>
      <c r="K4" s="50"/>
      <c r="L4" s="164"/>
      <c r="M4" s="164"/>
      <c r="N4" s="164"/>
      <c r="O4" s="164"/>
      <c r="P4" s="164"/>
      <c r="Q4" s="164"/>
      <c r="R4" s="164"/>
    </row>
    <row r="5" ht="14.25" customHeight="1">
      <c r="B5" s="57"/>
      <c r="E5" s="57"/>
      <c r="F5" s="91"/>
      <c r="G5" s="170" t="s">
        <v>105</v>
      </c>
      <c r="H5" s="171"/>
      <c r="I5" s="172"/>
      <c r="J5" s="170" t="s">
        <v>106</v>
      </c>
      <c r="K5" s="172"/>
      <c r="L5" s="164"/>
      <c r="M5" s="164"/>
      <c r="N5" s="164"/>
      <c r="O5" s="164"/>
      <c r="P5" s="164"/>
      <c r="Q5" s="164"/>
      <c r="R5" s="164"/>
    </row>
    <row r="6" ht="14.25" customHeight="1">
      <c r="A6" s="173" t="s">
        <v>107</v>
      </c>
      <c r="B6" s="174"/>
      <c r="C6" s="175"/>
      <c r="D6" s="175"/>
      <c r="E6" s="176"/>
      <c r="F6" s="91"/>
      <c r="G6" s="177" t="s">
        <v>108</v>
      </c>
      <c r="H6" s="178"/>
      <c r="I6" s="179"/>
      <c r="J6" s="177" t="s">
        <v>109</v>
      </c>
      <c r="K6" s="179"/>
      <c r="L6" s="164"/>
      <c r="M6" s="164"/>
      <c r="N6" s="164"/>
      <c r="O6" s="164"/>
      <c r="P6" s="164"/>
      <c r="Q6" s="164"/>
      <c r="R6" s="164"/>
    </row>
    <row r="7" ht="14.25" customHeight="1">
      <c r="A7" s="180" t="s">
        <v>110</v>
      </c>
      <c r="B7" s="174"/>
      <c r="C7" s="174"/>
      <c r="D7" s="174"/>
      <c r="E7" s="176"/>
      <c r="F7" s="91"/>
      <c r="G7" s="177" t="s">
        <v>111</v>
      </c>
      <c r="H7" s="178"/>
      <c r="I7" s="179"/>
      <c r="J7" s="177" t="s">
        <v>112</v>
      </c>
      <c r="K7" s="179"/>
      <c r="L7" s="164"/>
      <c r="M7" s="164"/>
      <c r="N7" s="164"/>
      <c r="O7" s="164"/>
      <c r="P7" s="164"/>
      <c r="Q7" s="164"/>
      <c r="R7" s="164"/>
    </row>
    <row r="8" ht="14.25" customHeight="1">
      <c r="A8" s="10"/>
      <c r="B8" s="10"/>
      <c r="C8" s="10"/>
      <c r="D8" s="10"/>
      <c r="E8" s="10"/>
      <c r="F8" s="91"/>
      <c r="G8" s="177" t="s">
        <v>113</v>
      </c>
      <c r="H8" s="178"/>
      <c r="I8" s="179"/>
      <c r="J8" s="177" t="s">
        <v>4</v>
      </c>
      <c r="K8" s="179"/>
      <c r="L8" s="164"/>
      <c r="M8" s="164"/>
      <c r="N8" s="164"/>
      <c r="O8" s="164"/>
      <c r="P8" s="164"/>
      <c r="Q8" s="164"/>
      <c r="R8" s="164"/>
    </row>
    <row r="9" ht="14.25" customHeight="1">
      <c r="F9" s="91"/>
      <c r="G9" s="181" t="s">
        <v>114</v>
      </c>
      <c r="H9" s="182"/>
      <c r="I9" s="183"/>
      <c r="J9" s="181" t="s">
        <v>115</v>
      </c>
      <c r="K9" s="183"/>
      <c r="L9" s="164"/>
      <c r="M9" s="164"/>
      <c r="N9" s="164"/>
      <c r="O9" s="164"/>
      <c r="P9" s="164"/>
      <c r="Q9" s="164"/>
      <c r="R9" s="164"/>
    </row>
    <row r="10" ht="14.25" customHeight="1">
      <c r="A10" s="91"/>
      <c r="B10" s="91"/>
      <c r="C10" s="91"/>
      <c r="D10" s="91"/>
      <c r="E10" s="91"/>
      <c r="F10" s="91"/>
      <c r="G10" s="91"/>
      <c r="H10" s="91"/>
      <c r="I10" s="184"/>
      <c r="J10" s="91"/>
      <c r="K10" s="91"/>
      <c r="L10" s="164"/>
      <c r="M10" s="164"/>
      <c r="N10" s="164"/>
      <c r="O10" s="164"/>
      <c r="P10" s="164"/>
      <c r="Q10" s="164"/>
      <c r="R10" s="164"/>
    </row>
    <row r="11" ht="14.25" customHeight="1">
      <c r="A11" s="185" t="s">
        <v>116</v>
      </c>
      <c r="B11" s="185" t="s">
        <v>117</v>
      </c>
      <c r="C11" s="185" t="s">
        <v>118</v>
      </c>
      <c r="D11" s="185" t="s">
        <v>119</v>
      </c>
      <c r="E11" s="185" t="s">
        <v>120</v>
      </c>
      <c r="F11" s="185" t="s">
        <v>121</v>
      </c>
      <c r="G11" s="185" t="s">
        <v>122</v>
      </c>
      <c r="H11" s="185" t="s">
        <v>123</v>
      </c>
      <c r="I11" s="185" t="s">
        <v>124</v>
      </c>
      <c r="J11" s="185" t="s">
        <v>125</v>
      </c>
      <c r="K11" s="185" t="s">
        <v>126</v>
      </c>
      <c r="L11" s="186"/>
      <c r="M11" s="186"/>
      <c r="N11" s="186"/>
      <c r="O11" s="186"/>
      <c r="P11" s="186"/>
      <c r="Q11" s="186"/>
      <c r="R11" s="186"/>
      <c r="S11" s="95"/>
      <c r="T11" s="95"/>
      <c r="U11" s="95"/>
      <c r="V11" s="95"/>
      <c r="W11" s="95"/>
      <c r="X11" s="95"/>
      <c r="Y11" s="95"/>
      <c r="Z11" s="95"/>
    </row>
    <row r="12" ht="15.0" customHeight="1">
      <c r="A12" s="187">
        <v>815864.0</v>
      </c>
      <c r="B12" s="187" t="s">
        <v>127</v>
      </c>
      <c r="C12" s="187">
        <v>57.0</v>
      </c>
      <c r="D12" s="187">
        <v>25.0</v>
      </c>
      <c r="E12" s="187">
        <v>41.0</v>
      </c>
      <c r="F12" s="187">
        <v>62.0</v>
      </c>
      <c r="G12" s="187">
        <v>93.0</v>
      </c>
      <c r="H12" s="188">
        <f t="shared" ref="H12:H34" si="1">SUM(C12:G12)</f>
        <v>278</v>
      </c>
      <c r="I12" s="189">
        <f t="shared" ref="I12:I34" si="2">H12/500</f>
        <v>0.556</v>
      </c>
      <c r="J12" s="188" t="str">
        <f t="shared" ref="J12:J34" si="3">SWITCH(TRUE,I12&gt;80%,"A+",I12&gt;=60%,"A",I12&lt;=45%,"B",I12&gt;33%,"B+","C")</f>
        <v>B+</v>
      </c>
      <c r="K12" s="188" t="str">
        <f t="shared" ref="K12:K34" si="4">IF(I12&gt;33%,"PASS","FAIL")</f>
        <v>PASS</v>
      </c>
      <c r="L12" s="164"/>
      <c r="R12" s="164"/>
    </row>
    <row r="13" ht="14.25" customHeight="1">
      <c r="A13" s="190">
        <v>815865.0</v>
      </c>
      <c r="B13" s="190" t="s">
        <v>128</v>
      </c>
      <c r="C13" s="190">
        <v>52.0</v>
      </c>
      <c r="D13" s="190">
        <v>64.0</v>
      </c>
      <c r="E13" s="190">
        <v>40.0</v>
      </c>
      <c r="F13" s="190">
        <v>62.0</v>
      </c>
      <c r="G13" s="190">
        <v>48.0</v>
      </c>
      <c r="H13" s="188">
        <f t="shared" si="1"/>
        <v>266</v>
      </c>
      <c r="I13" s="189">
        <f t="shared" si="2"/>
        <v>0.532</v>
      </c>
      <c r="J13" s="188" t="str">
        <f t="shared" si="3"/>
        <v>B+</v>
      </c>
      <c r="K13" s="188" t="str">
        <f t="shared" si="4"/>
        <v>PASS</v>
      </c>
      <c r="L13" s="164"/>
      <c r="R13" s="164"/>
    </row>
    <row r="14" ht="14.25" customHeight="1">
      <c r="A14" s="190">
        <v>815866.0</v>
      </c>
      <c r="B14" s="190" t="s">
        <v>129</v>
      </c>
      <c r="C14" s="190">
        <v>35.0</v>
      </c>
      <c r="D14" s="190">
        <v>60.0</v>
      </c>
      <c r="E14" s="190">
        <v>44.0</v>
      </c>
      <c r="F14" s="190">
        <v>59.0</v>
      </c>
      <c r="G14" s="190">
        <v>82.0</v>
      </c>
      <c r="H14" s="188">
        <f t="shared" si="1"/>
        <v>280</v>
      </c>
      <c r="I14" s="189">
        <f t="shared" si="2"/>
        <v>0.56</v>
      </c>
      <c r="J14" s="188" t="str">
        <f t="shared" si="3"/>
        <v>B+</v>
      </c>
      <c r="K14" s="188" t="str">
        <f t="shared" si="4"/>
        <v>PASS</v>
      </c>
      <c r="L14" s="164"/>
      <c r="R14" s="164"/>
    </row>
    <row r="15" ht="14.25" customHeight="1">
      <c r="A15" s="190">
        <v>815867.0</v>
      </c>
      <c r="B15" s="190" t="s">
        <v>130</v>
      </c>
      <c r="C15" s="190">
        <v>65.0</v>
      </c>
      <c r="D15" s="190">
        <v>86.0</v>
      </c>
      <c r="E15" s="190">
        <v>24.0</v>
      </c>
      <c r="F15" s="190">
        <v>88.0</v>
      </c>
      <c r="G15" s="190">
        <v>96.0</v>
      </c>
      <c r="H15" s="188">
        <f t="shared" si="1"/>
        <v>359</v>
      </c>
      <c r="I15" s="189">
        <f t="shared" si="2"/>
        <v>0.718</v>
      </c>
      <c r="J15" s="188" t="str">
        <f t="shared" si="3"/>
        <v>A</v>
      </c>
      <c r="K15" s="188" t="str">
        <f t="shared" si="4"/>
        <v>PASS</v>
      </c>
    </row>
    <row r="16" ht="14.25" customHeight="1">
      <c r="A16" s="190">
        <v>815868.0</v>
      </c>
      <c r="B16" s="190" t="s">
        <v>131</v>
      </c>
      <c r="C16" s="190">
        <v>42.0</v>
      </c>
      <c r="D16" s="190">
        <v>74.0</v>
      </c>
      <c r="E16" s="190">
        <v>83.0</v>
      </c>
      <c r="F16" s="190">
        <v>96.0</v>
      </c>
      <c r="G16" s="190">
        <v>72.0</v>
      </c>
      <c r="H16" s="188">
        <f t="shared" si="1"/>
        <v>367</v>
      </c>
      <c r="I16" s="189">
        <f t="shared" si="2"/>
        <v>0.734</v>
      </c>
      <c r="J16" s="188" t="str">
        <f t="shared" si="3"/>
        <v>A</v>
      </c>
      <c r="K16" s="188" t="str">
        <f t="shared" si="4"/>
        <v>PASS</v>
      </c>
    </row>
    <row r="17" ht="14.25" customHeight="1">
      <c r="A17" s="190">
        <v>815869.0</v>
      </c>
      <c r="B17" s="190" t="s">
        <v>132</v>
      </c>
      <c r="C17" s="190">
        <v>21.0</v>
      </c>
      <c r="D17" s="190">
        <v>85.0</v>
      </c>
      <c r="E17" s="190">
        <v>73.0</v>
      </c>
      <c r="F17" s="190">
        <v>30.0</v>
      </c>
      <c r="G17" s="190">
        <v>36.0</v>
      </c>
      <c r="H17" s="188">
        <f t="shared" si="1"/>
        <v>245</v>
      </c>
      <c r="I17" s="189">
        <f t="shared" si="2"/>
        <v>0.49</v>
      </c>
      <c r="J17" s="188" t="str">
        <f t="shared" si="3"/>
        <v>B+</v>
      </c>
      <c r="K17" s="188" t="str">
        <f t="shared" si="4"/>
        <v>PASS</v>
      </c>
    </row>
    <row r="18" ht="14.25" customHeight="1">
      <c r="A18" s="190">
        <v>815870.0</v>
      </c>
      <c r="B18" s="190" t="s">
        <v>133</v>
      </c>
      <c r="C18" s="190">
        <v>76.0</v>
      </c>
      <c r="D18" s="190">
        <v>37.0</v>
      </c>
      <c r="E18" s="190">
        <v>33.0</v>
      </c>
      <c r="F18" s="190">
        <v>67.0</v>
      </c>
      <c r="G18" s="190">
        <v>62.0</v>
      </c>
      <c r="H18" s="188">
        <f t="shared" si="1"/>
        <v>275</v>
      </c>
      <c r="I18" s="189">
        <f t="shared" si="2"/>
        <v>0.55</v>
      </c>
      <c r="J18" s="188" t="str">
        <f t="shared" si="3"/>
        <v>B+</v>
      </c>
      <c r="K18" s="188" t="str">
        <f t="shared" si="4"/>
        <v>PASS</v>
      </c>
    </row>
    <row r="19" ht="14.25" customHeight="1">
      <c r="A19" s="190">
        <v>815871.0</v>
      </c>
      <c r="B19" s="190" t="s">
        <v>134</v>
      </c>
      <c r="C19" s="190">
        <v>71.0</v>
      </c>
      <c r="D19" s="190">
        <v>85.0</v>
      </c>
      <c r="E19" s="190">
        <v>89.0</v>
      </c>
      <c r="F19" s="190">
        <v>88.0</v>
      </c>
      <c r="G19" s="190">
        <v>88.0</v>
      </c>
      <c r="H19" s="188">
        <f t="shared" si="1"/>
        <v>421</v>
      </c>
      <c r="I19" s="189">
        <f t="shared" si="2"/>
        <v>0.842</v>
      </c>
      <c r="J19" s="188" t="str">
        <f t="shared" si="3"/>
        <v>A+</v>
      </c>
      <c r="K19" s="188" t="str">
        <f t="shared" si="4"/>
        <v>PASS</v>
      </c>
    </row>
    <row r="20" ht="14.25" customHeight="1">
      <c r="A20" s="191">
        <v>815872.0</v>
      </c>
      <c r="B20" s="190" t="s">
        <v>135</v>
      </c>
      <c r="C20" s="191">
        <v>88.0</v>
      </c>
      <c r="D20" s="192">
        <v>86.0</v>
      </c>
      <c r="E20" s="192">
        <v>91.0</v>
      </c>
      <c r="F20" s="192">
        <v>99.0</v>
      </c>
      <c r="G20" s="192">
        <v>90.0</v>
      </c>
      <c r="H20" s="188">
        <f t="shared" si="1"/>
        <v>454</v>
      </c>
      <c r="I20" s="189">
        <f t="shared" si="2"/>
        <v>0.908</v>
      </c>
      <c r="J20" s="188" t="str">
        <f t="shared" si="3"/>
        <v>A+</v>
      </c>
      <c r="K20" s="188" t="str">
        <f t="shared" si="4"/>
        <v>PASS</v>
      </c>
    </row>
    <row r="21" ht="14.25" customHeight="1">
      <c r="A21" s="190">
        <v>815873.0</v>
      </c>
      <c r="B21" s="190" t="s">
        <v>136</v>
      </c>
      <c r="C21" s="190">
        <v>29.0</v>
      </c>
      <c r="D21" s="190">
        <v>34.0</v>
      </c>
      <c r="E21" s="190">
        <v>89.0</v>
      </c>
      <c r="F21" s="190">
        <v>60.0</v>
      </c>
      <c r="G21" s="190">
        <v>70.0</v>
      </c>
      <c r="H21" s="188">
        <f t="shared" si="1"/>
        <v>282</v>
      </c>
      <c r="I21" s="189">
        <f t="shared" si="2"/>
        <v>0.564</v>
      </c>
      <c r="J21" s="188" t="str">
        <f t="shared" si="3"/>
        <v>B+</v>
      </c>
      <c r="K21" s="188" t="str">
        <f t="shared" si="4"/>
        <v>PASS</v>
      </c>
    </row>
    <row r="22" ht="14.25" customHeight="1">
      <c r="A22" s="190">
        <v>815874.0</v>
      </c>
      <c r="B22" s="190" t="s">
        <v>137</v>
      </c>
      <c r="C22" s="190">
        <v>26.0</v>
      </c>
      <c r="D22" s="190">
        <v>82.0</v>
      </c>
      <c r="E22" s="190">
        <v>73.0</v>
      </c>
      <c r="F22" s="190">
        <v>46.0</v>
      </c>
      <c r="G22" s="190">
        <v>62.0</v>
      </c>
      <c r="H22" s="188">
        <f t="shared" si="1"/>
        <v>289</v>
      </c>
      <c r="I22" s="189">
        <f t="shared" si="2"/>
        <v>0.578</v>
      </c>
      <c r="J22" s="188" t="str">
        <f t="shared" si="3"/>
        <v>B+</v>
      </c>
      <c r="K22" s="188" t="str">
        <f t="shared" si="4"/>
        <v>PASS</v>
      </c>
    </row>
    <row r="23" ht="14.25" customHeight="1">
      <c r="A23" s="190">
        <v>815875.0</v>
      </c>
      <c r="B23" s="190" t="s">
        <v>138</v>
      </c>
      <c r="C23" s="190">
        <v>53.0</v>
      </c>
      <c r="D23" s="190">
        <v>27.0</v>
      </c>
      <c r="E23" s="190">
        <v>30.0</v>
      </c>
      <c r="F23" s="190">
        <v>86.0</v>
      </c>
      <c r="G23" s="190">
        <v>38.0</v>
      </c>
      <c r="H23" s="188">
        <f t="shared" si="1"/>
        <v>234</v>
      </c>
      <c r="I23" s="189">
        <f t="shared" si="2"/>
        <v>0.468</v>
      </c>
      <c r="J23" s="188" t="str">
        <f t="shared" si="3"/>
        <v>B+</v>
      </c>
      <c r="K23" s="188" t="str">
        <f t="shared" si="4"/>
        <v>PASS</v>
      </c>
    </row>
    <row r="24" ht="14.25" customHeight="1">
      <c r="A24" s="190">
        <v>815876.0</v>
      </c>
      <c r="B24" s="190" t="s">
        <v>139</v>
      </c>
      <c r="C24" s="190">
        <v>66.0</v>
      </c>
      <c r="D24" s="190">
        <v>22.0</v>
      </c>
      <c r="E24" s="190">
        <v>50.0</v>
      </c>
      <c r="F24" s="190">
        <v>73.0</v>
      </c>
      <c r="G24" s="190">
        <v>23.0</v>
      </c>
      <c r="H24" s="188">
        <f t="shared" si="1"/>
        <v>234</v>
      </c>
      <c r="I24" s="189">
        <f t="shared" si="2"/>
        <v>0.468</v>
      </c>
      <c r="J24" s="188" t="str">
        <f t="shared" si="3"/>
        <v>B+</v>
      </c>
      <c r="K24" s="188" t="str">
        <f t="shared" si="4"/>
        <v>PASS</v>
      </c>
    </row>
    <row r="25" ht="14.25" customHeight="1">
      <c r="A25" s="190">
        <v>815877.0</v>
      </c>
      <c r="B25" s="190" t="s">
        <v>140</v>
      </c>
      <c r="C25" s="190">
        <v>33.0</v>
      </c>
      <c r="D25" s="190">
        <v>63.0</v>
      </c>
      <c r="E25" s="190">
        <v>95.0</v>
      </c>
      <c r="F25" s="190">
        <v>74.0</v>
      </c>
      <c r="G25" s="190">
        <v>70.0</v>
      </c>
      <c r="H25" s="188">
        <f t="shared" si="1"/>
        <v>335</v>
      </c>
      <c r="I25" s="189">
        <f t="shared" si="2"/>
        <v>0.67</v>
      </c>
      <c r="J25" s="188" t="str">
        <f t="shared" si="3"/>
        <v>A</v>
      </c>
      <c r="K25" s="188" t="str">
        <f t="shared" si="4"/>
        <v>PASS</v>
      </c>
    </row>
    <row r="26" ht="14.25" customHeight="1">
      <c r="A26" s="190">
        <v>815878.0</v>
      </c>
      <c r="B26" s="190" t="s">
        <v>141</v>
      </c>
      <c r="C26" s="190">
        <v>24.0</v>
      </c>
      <c r="D26" s="190">
        <v>51.0</v>
      </c>
      <c r="E26" s="190">
        <v>70.0</v>
      </c>
      <c r="F26" s="190">
        <v>47.0</v>
      </c>
      <c r="G26" s="190">
        <v>28.0</v>
      </c>
      <c r="H26" s="188">
        <f t="shared" si="1"/>
        <v>220</v>
      </c>
      <c r="I26" s="189">
        <f t="shared" si="2"/>
        <v>0.44</v>
      </c>
      <c r="J26" s="188" t="str">
        <f t="shared" si="3"/>
        <v>B</v>
      </c>
      <c r="K26" s="188" t="str">
        <f t="shared" si="4"/>
        <v>PASS</v>
      </c>
    </row>
    <row r="27" ht="14.25" customHeight="1">
      <c r="A27" s="190">
        <v>815879.0</v>
      </c>
      <c r="B27" s="190" t="s">
        <v>142</v>
      </c>
      <c r="C27" s="190">
        <v>62.0</v>
      </c>
      <c r="D27" s="190">
        <v>88.0</v>
      </c>
      <c r="E27" s="190">
        <v>84.0</v>
      </c>
      <c r="F27" s="190">
        <v>68.0</v>
      </c>
      <c r="G27" s="190">
        <v>65.0</v>
      </c>
      <c r="H27" s="188">
        <f t="shared" si="1"/>
        <v>367</v>
      </c>
      <c r="I27" s="189">
        <f t="shared" si="2"/>
        <v>0.734</v>
      </c>
      <c r="J27" s="188" t="str">
        <f t="shared" si="3"/>
        <v>A</v>
      </c>
      <c r="K27" s="188" t="str">
        <f t="shared" si="4"/>
        <v>PASS</v>
      </c>
    </row>
    <row r="28" ht="14.25" customHeight="1">
      <c r="A28" s="190">
        <v>815880.0</v>
      </c>
      <c r="B28" s="190" t="s">
        <v>143</v>
      </c>
      <c r="C28" s="190">
        <v>21.0</v>
      </c>
      <c r="D28" s="190">
        <v>41.0</v>
      </c>
      <c r="E28" s="190">
        <v>41.0</v>
      </c>
      <c r="F28" s="190">
        <v>62.0</v>
      </c>
      <c r="G28" s="190">
        <v>47.0</v>
      </c>
      <c r="H28" s="188">
        <f t="shared" si="1"/>
        <v>212</v>
      </c>
      <c r="I28" s="189">
        <f t="shared" si="2"/>
        <v>0.424</v>
      </c>
      <c r="J28" s="188" t="str">
        <f t="shared" si="3"/>
        <v>B</v>
      </c>
      <c r="K28" s="188" t="str">
        <f t="shared" si="4"/>
        <v>PASS</v>
      </c>
      <c r="L28" s="164"/>
      <c r="M28" s="164"/>
      <c r="N28" s="164"/>
      <c r="O28" s="164"/>
      <c r="P28" s="164"/>
      <c r="Q28" s="164"/>
      <c r="R28" s="164"/>
    </row>
    <row r="29" ht="14.25" customHeight="1">
      <c r="A29" s="190">
        <v>815881.0</v>
      </c>
      <c r="B29" s="190" t="s">
        <v>144</v>
      </c>
      <c r="C29" s="190">
        <v>92.0</v>
      </c>
      <c r="D29" s="190">
        <v>53.0</v>
      </c>
      <c r="E29" s="190">
        <v>91.0</v>
      </c>
      <c r="F29" s="190">
        <v>32.0</v>
      </c>
      <c r="G29" s="190">
        <v>52.0</v>
      </c>
      <c r="H29" s="188">
        <f t="shared" si="1"/>
        <v>320</v>
      </c>
      <c r="I29" s="189">
        <f t="shared" si="2"/>
        <v>0.64</v>
      </c>
      <c r="J29" s="188" t="str">
        <f t="shared" si="3"/>
        <v>A</v>
      </c>
      <c r="K29" s="188" t="str">
        <f t="shared" si="4"/>
        <v>PASS</v>
      </c>
      <c r="L29" s="164"/>
      <c r="M29" s="164"/>
      <c r="N29" s="164"/>
      <c r="O29" s="164"/>
      <c r="P29" s="164"/>
      <c r="Q29" s="164"/>
      <c r="R29" s="164"/>
    </row>
    <row r="30" ht="14.25" customHeight="1">
      <c r="A30" s="190">
        <v>815882.0</v>
      </c>
      <c r="B30" s="190" t="s">
        <v>145</v>
      </c>
      <c r="C30" s="190">
        <v>71.0</v>
      </c>
      <c r="D30" s="190">
        <v>88.0</v>
      </c>
      <c r="E30" s="190">
        <v>25.0</v>
      </c>
      <c r="F30" s="190">
        <v>89.0</v>
      </c>
      <c r="G30" s="190">
        <v>72.0</v>
      </c>
      <c r="H30" s="188">
        <f t="shared" si="1"/>
        <v>345</v>
      </c>
      <c r="I30" s="189">
        <f t="shared" si="2"/>
        <v>0.69</v>
      </c>
      <c r="J30" s="188" t="str">
        <f t="shared" si="3"/>
        <v>A</v>
      </c>
      <c r="K30" s="188" t="str">
        <f t="shared" si="4"/>
        <v>PASS</v>
      </c>
      <c r="L30" s="164"/>
      <c r="M30" s="164"/>
      <c r="N30" s="164"/>
      <c r="O30" s="164"/>
      <c r="P30" s="164"/>
      <c r="Q30" s="164"/>
      <c r="R30" s="164"/>
    </row>
    <row r="31" ht="14.25" customHeight="1">
      <c r="A31" s="190">
        <v>815883.0</v>
      </c>
      <c r="B31" s="190" t="s">
        <v>146</v>
      </c>
      <c r="C31" s="190">
        <v>66.0</v>
      </c>
      <c r="D31" s="190">
        <v>68.0</v>
      </c>
      <c r="E31" s="190">
        <v>96.0</v>
      </c>
      <c r="F31" s="190">
        <v>44.0</v>
      </c>
      <c r="G31" s="190">
        <v>72.0</v>
      </c>
      <c r="H31" s="188">
        <f t="shared" si="1"/>
        <v>346</v>
      </c>
      <c r="I31" s="189">
        <f t="shared" si="2"/>
        <v>0.692</v>
      </c>
      <c r="J31" s="188" t="str">
        <f t="shared" si="3"/>
        <v>A</v>
      </c>
      <c r="K31" s="188" t="str">
        <f t="shared" si="4"/>
        <v>PASS</v>
      </c>
      <c r="L31" s="164"/>
      <c r="M31" s="164"/>
      <c r="N31" s="164"/>
      <c r="O31" s="164"/>
      <c r="P31" s="164"/>
      <c r="Q31" s="164"/>
      <c r="R31" s="164"/>
    </row>
    <row r="32" ht="14.25" customHeight="1">
      <c r="A32" s="190">
        <v>815884.0</v>
      </c>
      <c r="B32" s="190" t="s">
        <v>147</v>
      </c>
      <c r="C32" s="190">
        <v>33.0</v>
      </c>
      <c r="D32" s="190">
        <v>29.0</v>
      </c>
      <c r="E32" s="190">
        <v>27.0</v>
      </c>
      <c r="F32" s="190">
        <v>44.0</v>
      </c>
      <c r="G32" s="190">
        <v>21.0</v>
      </c>
      <c r="H32" s="188">
        <f t="shared" si="1"/>
        <v>154</v>
      </c>
      <c r="I32" s="189">
        <f t="shared" si="2"/>
        <v>0.308</v>
      </c>
      <c r="J32" s="188" t="str">
        <f t="shared" si="3"/>
        <v>B</v>
      </c>
      <c r="K32" s="188" t="str">
        <f t="shared" si="4"/>
        <v>FAIL</v>
      </c>
      <c r="L32" s="164"/>
      <c r="M32" s="164"/>
      <c r="N32" s="164"/>
      <c r="O32" s="164"/>
      <c r="P32" s="164"/>
      <c r="Q32" s="164"/>
      <c r="R32" s="164"/>
    </row>
    <row r="33" ht="14.25" customHeight="1">
      <c r="A33" s="190">
        <v>815885.0</v>
      </c>
      <c r="B33" s="190" t="s">
        <v>148</v>
      </c>
      <c r="C33" s="190">
        <v>22.0</v>
      </c>
      <c r="D33" s="190">
        <v>28.0</v>
      </c>
      <c r="E33" s="190">
        <v>33.0</v>
      </c>
      <c r="F33" s="190">
        <v>26.0</v>
      </c>
      <c r="G33" s="190">
        <v>42.0</v>
      </c>
      <c r="H33" s="188">
        <f t="shared" si="1"/>
        <v>151</v>
      </c>
      <c r="I33" s="189">
        <f t="shared" si="2"/>
        <v>0.302</v>
      </c>
      <c r="J33" s="188" t="str">
        <f t="shared" si="3"/>
        <v>B</v>
      </c>
      <c r="K33" s="188" t="str">
        <f t="shared" si="4"/>
        <v>FAIL</v>
      </c>
      <c r="L33" s="164"/>
      <c r="M33" s="164"/>
      <c r="N33" s="164"/>
      <c r="O33" s="164"/>
      <c r="P33" s="164"/>
      <c r="Q33" s="164"/>
      <c r="R33" s="164"/>
    </row>
    <row r="34" ht="14.25" customHeight="1">
      <c r="A34" s="193">
        <v>815886.0</v>
      </c>
      <c r="B34" s="193" t="s">
        <v>149</v>
      </c>
      <c r="C34" s="193">
        <v>48.0</v>
      </c>
      <c r="D34" s="193">
        <v>82.0</v>
      </c>
      <c r="E34" s="193">
        <v>95.0</v>
      </c>
      <c r="F34" s="193">
        <v>53.0</v>
      </c>
      <c r="G34" s="193">
        <v>47.0</v>
      </c>
      <c r="H34" s="188">
        <f t="shared" si="1"/>
        <v>325</v>
      </c>
      <c r="I34" s="189">
        <f t="shared" si="2"/>
        <v>0.65</v>
      </c>
      <c r="J34" s="188" t="str">
        <f t="shared" si="3"/>
        <v>A</v>
      </c>
      <c r="K34" s="188" t="str">
        <f t="shared" si="4"/>
        <v>PASS</v>
      </c>
      <c r="L34" s="164"/>
      <c r="M34" s="164"/>
      <c r="N34" s="164"/>
      <c r="O34" s="164"/>
      <c r="P34" s="164"/>
      <c r="Q34" s="164"/>
      <c r="R34" s="164"/>
    </row>
    <row r="35" ht="14.25" customHeight="1">
      <c r="I35" s="188"/>
      <c r="J35" s="188"/>
      <c r="K35" s="10"/>
      <c r="L35" s="164"/>
      <c r="M35" s="164"/>
      <c r="N35" s="164"/>
      <c r="O35" s="164"/>
      <c r="P35" s="164"/>
      <c r="Q35" s="164"/>
      <c r="R35" s="164"/>
    </row>
    <row r="36" ht="14.25" customHeight="1">
      <c r="I36" s="188"/>
      <c r="J36" s="188"/>
    </row>
    <row r="37" ht="14.25" customHeight="1">
      <c r="I37" s="188"/>
      <c r="J37" s="188"/>
    </row>
    <row r="38" ht="14.25" customHeight="1">
      <c r="I38" s="188"/>
      <c r="J38" s="188"/>
    </row>
    <row r="39" ht="14.25" customHeight="1">
      <c r="I39" s="188"/>
      <c r="J39" s="188"/>
    </row>
    <row r="40" ht="14.25" customHeight="1">
      <c r="I40" s="188"/>
      <c r="J40" s="188"/>
    </row>
    <row r="41" ht="14.25" customHeight="1">
      <c r="I41" s="188"/>
      <c r="J41" s="188"/>
    </row>
    <row r="42" ht="14.25" customHeight="1">
      <c r="I42" s="188"/>
      <c r="J42" s="188"/>
    </row>
    <row r="43" ht="14.25" customHeight="1">
      <c r="I43" s="188"/>
      <c r="J43" s="188"/>
    </row>
    <row r="44" ht="14.25" customHeight="1">
      <c r="I44" s="188"/>
      <c r="J44" s="188"/>
    </row>
    <row r="45" ht="14.25" customHeight="1">
      <c r="I45" s="188"/>
      <c r="J45" s="188"/>
    </row>
    <row r="46" ht="14.25" customHeight="1">
      <c r="I46" s="188"/>
      <c r="J46" s="188"/>
    </row>
    <row r="47" ht="14.25" customHeight="1">
      <c r="I47" s="188"/>
    </row>
    <row r="48" ht="14.25" customHeight="1">
      <c r="I48" s="188"/>
    </row>
    <row r="49" ht="14.25" customHeight="1">
      <c r="I49" s="188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6:I6"/>
    <mergeCell ref="G7:I7"/>
    <mergeCell ref="J7:K7"/>
    <mergeCell ref="G8:I8"/>
    <mergeCell ref="J8:K8"/>
    <mergeCell ref="G9:I9"/>
    <mergeCell ref="J9:K9"/>
    <mergeCell ref="A3:E4"/>
    <mergeCell ref="G3:K3"/>
    <mergeCell ref="G4:I4"/>
    <mergeCell ref="J4:K4"/>
    <mergeCell ref="G5:I5"/>
    <mergeCell ref="J5:K5"/>
    <mergeCell ref="J6:K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2011-10-09T12:51:01Z</dcterms:created>
  <dc:creator>Vipul Paighan</dc:creator>
</cp:coreProperties>
</file>